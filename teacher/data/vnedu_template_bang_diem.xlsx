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HUONG_DAN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color rgb="FF000000"/>
      <sz val="10"/>
    </font>
    <font>
      <name val="Arial"/>
      <family val="0"/>
      <b val="1"/>
      <color rgb="FF000000"/>
      <sz val="10"/>
    </font>
    <font>
      <name val="Arial"/>
      <family val="0"/>
      <color rgb="FFFFFFFF"/>
      <sz val="10"/>
    </font>
    <font>
      <name val="arial"/>
      <family val="0"/>
      <color rgb="FF000000"/>
      <sz val="10"/>
    </font>
    <font>
      <name val="arial"/>
      <family val="0"/>
      <b val="1"/>
      <color rgb="FF000000"/>
      <sz val="10"/>
    </font>
    <font>
      <name val="Arial"/>
      <family val="0"/>
      <color rgb="FF0000FF"/>
      <sz val="10"/>
    </font>
    <font>
      <name val="Verdana"/>
      <family val="0"/>
      <b val="1"/>
      <color rgb="FFFFFFFF"/>
      <sz val="3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/>
      <top style="hair"/>
      <bottom style="thin"/>
      <diagonal/>
    </border>
    <border>
      <left/>
      <right style="thin"/>
      <top style="hair"/>
      <bottom style="thin"/>
      <diagonal/>
    </border>
    <border>
      <left style="hair"/>
      <right style="thin"/>
      <top style="hair"/>
      <bottom style="thin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164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 wrapText="1"/>
    </xf>
    <xf numFmtId="0" fontId="5" fillId="0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164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164" fontId="5" fillId="0" borderId="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4" pivotButton="0" quotePrefix="0" xfId="0"/>
    <xf numFmtId="0" fontId="0" fillId="0" borderId="16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 wrapText="1"/>
    </xf>
    <xf numFmtId="0" fontId="5" fillId="0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K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2.75" zeroHeight="0" outlineLevelRow="0"/>
  <cols>
    <col width="4.99" customWidth="1" style="47" min="1" max="1"/>
    <col hidden="1" width="5.85" customWidth="1" style="47" min="2" max="2"/>
    <col width="21.99" customWidth="1" style="48" min="3" max="3"/>
    <col width="6.99" customWidth="1" style="48" min="4" max="4"/>
    <col hidden="1" width="10.13" customWidth="1" style="48" min="5" max="5"/>
    <col width="6.43" customWidth="1" style="47" min="6" max="11"/>
    <col width="5.99" customWidth="1" style="49" min="12" max="12"/>
    <col width="9.140000000000001" customWidth="1" style="50" min="13" max="13"/>
    <col width="5.85" customWidth="1" style="51" min="14" max="16"/>
    <col width="5.85" customWidth="1" style="52" min="17" max="37"/>
  </cols>
  <sheetData>
    <row r="1" ht="17.25" customHeight="1" s="53">
      <c r="A1" s="47" t="inlineStr">
        <is>
          <t>{{don_vi_chu_quan}}</t>
        </is>
      </c>
    </row>
    <row r="2" ht="17.25" customHeight="1" s="53">
      <c r="A2" s="47" t="inlineStr">
        <is>
          <t>{{truong}}</t>
        </is>
      </c>
    </row>
    <row r="3" ht="20" customHeight="1" s="53">
      <c r="A3" s="54" t="inlineStr">
        <is>
          <t>BẢNG ĐIỂM CHI TIẾT - MÔN {{mon}} - HỌC KỲ {{hoc_ky}} - NĂM HỌC {{nam_hoc}}</t>
        </is>
      </c>
    </row>
    <row r="4" ht="12.75" customHeight="1" s="53">
      <c r="A4" s="54" t="inlineStr">
        <is>
          <t>Khối {{khoi}} - Lớp {{lop}}</t>
        </is>
      </c>
      <c r="K4" s="55" t="n"/>
      <c r="L4" s="55" t="n"/>
    </row>
    <row r="5" ht="12.75" customHeight="1" s="53">
      <c r="A5" s="50" t="n"/>
      <c r="B5" s="56" t="n"/>
      <c r="C5" s="50" t="n"/>
      <c r="D5" s="50" t="n"/>
      <c r="E5" s="50" t="n"/>
      <c r="F5" s="47" t="n"/>
      <c r="L5" s="49">
        <f>IF(K5&lt;&gt;"",IF(COUNTIF(F5:K5,"CĐ")+COUNTIF(F5:K5,"CD")+COUNTIF(F5:K5,"C")&gt;=1,"CĐ","Đ"),"")</f>
        <v/>
      </c>
    </row>
    <row r="6" ht="30" customHeight="1" s="53">
      <c r="A6" s="57" t="inlineStr">
        <is>
          <t>STT</t>
        </is>
      </c>
      <c r="B6" s="57" t="inlineStr">
        <is>
          <t>Mã học sinh</t>
        </is>
      </c>
      <c r="C6" s="57" t="inlineStr">
        <is>
          <t>Họ và tên</t>
        </is>
      </c>
      <c r="D6" s="58" t="n"/>
      <c r="E6" s="57" t="inlineStr">
        <is>
          <t>Ngày sinh</t>
        </is>
      </c>
      <c r="F6" s="57" t="inlineStr">
        <is>
          <t>ĐĐGtx</t>
        </is>
      </c>
      <c r="G6" s="59" t="n"/>
      <c r="H6" s="59" t="n"/>
      <c r="I6" s="60" t="n"/>
      <c r="J6" s="57" t="inlineStr">
        <is>
          <t>ĐĐGgk</t>
        </is>
      </c>
      <c r="K6" s="57" t="inlineStr">
        <is>
          <t>ĐĐGck</t>
        </is>
      </c>
      <c r="L6" s="61" t="inlineStr">
        <is>
          <t>ĐTB 
mhk</t>
        </is>
      </c>
      <c r="M6" s="57" t="inlineStr">
        <is>
          <t>Nhận xét</t>
        </is>
      </c>
      <c r="N6" s="47" t="n"/>
      <c r="O6" s="52" t="n"/>
      <c r="P6" s="52" t="n"/>
    </row>
    <row r="7" ht="12.75" customHeight="1" s="53">
      <c r="A7" s="62" t="n"/>
      <c r="B7" s="62" t="n"/>
      <c r="C7" s="63" t="n"/>
      <c r="D7" s="64" t="n"/>
      <c r="E7" s="62" t="n"/>
      <c r="F7" s="65" t="inlineStr">
        <is>
          <t>TX1</t>
        </is>
      </c>
      <c r="G7" s="65" t="inlineStr">
        <is>
          <t>TX2</t>
        </is>
      </c>
      <c r="H7" s="65" t="inlineStr">
        <is>
          <t>TX3</t>
        </is>
      </c>
      <c r="I7" s="65" t="inlineStr">
        <is>
          <t>TX4</t>
        </is>
      </c>
      <c r="J7" s="62" t="n"/>
      <c r="K7" s="62" t="n"/>
      <c r="L7" s="62" t="n"/>
      <c r="M7" s="62" t="n"/>
    </row>
    <row r="8" ht="12.75" customHeight="1" s="53">
      <c r="A8" s="66" t="inlineStr">
        <is>
          <t>{{stt}}</t>
        </is>
      </c>
      <c r="B8" s="67" t="inlineStr">
        <is>
          <t>{{ma_hs}}</t>
        </is>
      </c>
      <c r="C8" s="68" t="inlineStr">
        <is>
          <t>{{ho_dem}}</t>
        </is>
      </c>
      <c r="D8" s="69" t="inlineStr">
        <is>
          <t>{{ten}}</t>
        </is>
      </c>
      <c r="E8" s="67" t="inlineStr">
        <is>
          <t>{{ngay_sinh}}</t>
        </is>
      </c>
      <c r="F8" s="67" t="inlineStr">
        <is>
          <t>{{tx1}}</t>
        </is>
      </c>
      <c r="G8" s="67" t="inlineStr">
        <is>
          <t>{{tx2}}</t>
        </is>
      </c>
      <c r="H8" s="67" t="inlineStr">
        <is>
          <t>{{tx3}}</t>
        </is>
      </c>
      <c r="I8" s="70" t="inlineStr">
        <is>
          <t>{{tx4}}</t>
        </is>
      </c>
      <c r="J8" s="70" t="inlineStr">
        <is>
          <t>{{gk}}</t>
        </is>
      </c>
      <c r="K8" s="70" t="inlineStr">
        <is>
          <t>{{ck}}</t>
        </is>
      </c>
      <c r="L8" s="71">
        <f>IF((COUNT(F8:I8)+COUNT(J8:J8)*2+COUNT(K8:K8)*3),ROUND((SUM(F8:I8)+SUM(J8:J8)*2+SUM(K8:K8)*3)/(COUNT(F8:I8)+COUNT(J8:J8)*2+COUNT(K8:K8)*3),1),"")</f>
        <v/>
      </c>
      <c r="M8" s="70" t="inlineStr">
        <is>
          <t>{{nhan_xet}}</t>
        </is>
      </c>
      <c r="N8" s="72" t="n"/>
      <c r="O8" s="72" t="n"/>
      <c r="P8" s="72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</row>
    <row r="9" ht="12.75" customHeight="1" s="53">
      <c r="A9" s="74" t="inlineStr">
        <is>
          <t>THỐNG KÊ HỌC KỲ {{hoc_ky}}</t>
        </is>
      </c>
      <c r="J9" s="75" t="n"/>
      <c r="K9" s="76" t="n"/>
      <c r="L9" s="77" t="n"/>
      <c r="M9" s="78" t="n"/>
      <c r="N9" s="72" t="n"/>
      <c r="O9" s="72" t="n"/>
      <c r="P9" s="72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</row>
    <row r="10" ht="12.75" customHeight="1" s="53">
      <c r="J10" s="75" t="n"/>
    </row>
    <row r="11" ht="12.75" customHeight="1" s="53">
      <c r="A11" s="79" t="inlineStr">
        <is>
          <t>Số học sinh đạt</t>
        </is>
      </c>
      <c r="D11" s="80" t="inlineStr">
        <is>
          <t>Tốt</t>
        </is>
      </c>
      <c r="F11" s="81">
        <f>TEXT(COUNTIF($L$8:L8,"&gt;="&amp;Q11),"#0")</f>
        <v/>
      </c>
      <c r="H11" s="81" t="inlineStr">
        <is>
          <t>-</t>
        </is>
      </c>
      <c r="I11" s="82">
        <f>ROUND(F11/IF(COUNTIF($L$8:L8,"&gt;=0")=0,1,COUNTIF($L$8:L8,"&gt;=0")),4)*100&amp;"%"</f>
        <v/>
      </c>
      <c r="J11" s="75" t="n"/>
      <c r="Q11" s="83" t="n">
        <v>7.95</v>
      </c>
    </row>
    <row r="12" ht="12.75" customHeight="1" s="53">
      <c r="A12" s="84" t="inlineStr">
        <is>
          <t>Số lượng - Tỉ lệ (%)</t>
        </is>
      </c>
      <c r="D12" s="80" t="inlineStr">
        <is>
          <t>Khá</t>
        </is>
      </c>
      <c r="F12" s="81">
        <f>TEXT(COUNTIF($L$8:L8,"&gt;="&amp;Q12)-F11,"#0")</f>
        <v/>
      </c>
      <c r="H12" s="81" t="inlineStr">
        <is>
          <t>-</t>
        </is>
      </c>
      <c r="I12" s="82">
        <f>ROUND(F12/IF(COUNTIF($L$8:L8,"&gt;=0")=0,1,COUNTIF($L$8:L8,"&gt;=0")),4)*100&amp;"%"</f>
        <v/>
      </c>
      <c r="J12" s="75" t="n"/>
      <c r="Q12" s="83" t="n">
        <v>6.45</v>
      </c>
    </row>
    <row r="13" ht="12.75" customHeight="1" s="53">
      <c r="A13" s="84" t="n"/>
      <c r="D13" s="80" t="inlineStr">
        <is>
          <t>Đạt</t>
        </is>
      </c>
      <c r="F13" s="81">
        <f>TEXT(COUNTIF($L$8:L8,"&gt;="&amp;Q13)-F12-F11,"#0")</f>
        <v/>
      </c>
      <c r="H13" s="81" t="inlineStr">
        <is>
          <t>-</t>
        </is>
      </c>
      <c r="I13" s="82">
        <f>ROUND(F13/IF(COUNTIF($L$8:L8,"&gt;=0")=0,1,COUNTIF($L$8:L8,"&gt;=0")),4)*100&amp;"%"</f>
        <v/>
      </c>
      <c r="J13" s="75" t="n"/>
      <c r="Q13" s="83" t="n">
        <v>4.95</v>
      </c>
    </row>
    <row r="14" ht="12.75" customHeight="1" s="53">
      <c r="A14" s="85" t="n"/>
      <c r="B14" s="86" t="n"/>
      <c r="C14" s="87" t="n"/>
      <c r="D14" s="88" t="inlineStr">
        <is>
          <t>Chưa Đạt</t>
        </is>
      </c>
      <c r="E14" s="89" t="n"/>
      <c r="F14" s="90">
        <f>TEXT(COUNTIF($L$8:L8,"&gt;=0")-F11-F12-F13,"#0")</f>
        <v/>
      </c>
      <c r="G14" s="89" t="n"/>
      <c r="H14" s="90" t="inlineStr">
        <is>
          <t>-</t>
        </is>
      </c>
      <c r="I14" s="91">
        <f>ROUND(F14/IF(COUNTIF($L$8:L8,"&gt;=0")=0,1,COUNTIF($L$8:L8,"&gt;=0")),4)*100&amp;"%"</f>
        <v/>
      </c>
      <c r="J14" s="64" t="n"/>
    </row>
    <row r="15" s="53"/>
    <row r="16" s="53"/>
    <row r="17" s="53"/>
    <row r="18" s="53"/>
    <row r="19" s="53"/>
    <row r="20" s="53"/>
    <row r="21" s="53"/>
    <row r="22" s="53"/>
    <row r="23" s="53"/>
    <row r="24" s="53"/>
    <row r="25" s="53"/>
    <row r="26" s="53"/>
    <row r="27" s="53"/>
    <row r="28" s="53"/>
    <row r="29" s="53"/>
    <row r="30" s="53"/>
    <row r="31" s="53"/>
    <row r="32" s="53"/>
    <row r="33" s="53"/>
    <row r="34" s="53"/>
    <row r="35" s="53"/>
    <row r="36" s="53"/>
    <row r="37" s="53"/>
    <row r="38" s="53"/>
    <row r="39" s="53"/>
    <row r="40" s="53"/>
    <row r="41" s="53"/>
    <row r="42" s="53"/>
    <row r="43" s="53"/>
    <row r="44" s="53"/>
    <row r="45" s="53"/>
    <row r="46" s="53"/>
    <row r="47" s="53"/>
    <row r="48" s="53"/>
    <row r="49" s="53"/>
    <row r="50" s="53"/>
    <row r="51" s="53"/>
    <row r="52" s="53"/>
    <row r="53" s="53"/>
    <row r="54" s="53"/>
    <row r="55" s="53"/>
    <row r="56" s="53"/>
    <row r="57" s="53"/>
    <row r="58" s="53"/>
    <row r="59" s="53"/>
  </sheetData>
  <mergeCells count="32">
    <mergeCell ref="F11:G11"/>
    <mergeCell ref="I11:J11"/>
    <mergeCell ref="J6:J7"/>
    <mergeCell ref="P6:P7"/>
    <mergeCell ref="A4:J4"/>
    <mergeCell ref="A6:A7"/>
    <mergeCell ref="A12:C12"/>
    <mergeCell ref="A3:L3"/>
    <mergeCell ref="A2:L2"/>
    <mergeCell ref="F12:G12"/>
    <mergeCell ref="D13:E13"/>
    <mergeCell ref="D11:E11"/>
    <mergeCell ref="F5:J5"/>
    <mergeCell ref="M6:M7"/>
    <mergeCell ref="E6:E7"/>
    <mergeCell ref="B6:B7"/>
    <mergeCell ref="F6:I6"/>
    <mergeCell ref="I12:J12"/>
    <mergeCell ref="C6:D7"/>
    <mergeCell ref="L6:L7"/>
    <mergeCell ref="N6:N7"/>
    <mergeCell ref="I14:J14"/>
    <mergeCell ref="F13:G13"/>
    <mergeCell ref="D12:E12"/>
    <mergeCell ref="A11:C11"/>
    <mergeCell ref="A1:L1"/>
    <mergeCell ref="A9:J10"/>
    <mergeCell ref="D14:E14"/>
    <mergeCell ref="K6:K7"/>
    <mergeCell ref="F14:G14"/>
    <mergeCell ref="I13:J13"/>
    <mergeCell ref="O6:O7"/>
  </mergeCells>
  <dataValidations count="2">
    <dataValidation sqref="C5" showDropDown="0" showInputMessage="0" showErrorMessage="1" allowBlank="1" errorTitle="Thông báo" error="Bạn phải nhập [Đạt] = d, Đ, đ, 1   [Chưa đạt] = c, CĐ, cđ, 2" type="list" errorStyle="stop" operator="between">
      <formula1>"Đ,d,đ,1,CĐ,C,cđ,2"</formula1>
      <formula2>0</formula2>
    </dataValidation>
    <dataValidation sqref="A5 F8:K8" showDropDown="0" showInputMessage="0" showErrorMessage="1" allowBlank="1" errorTitle="Thông báo" error="Giá trị con điểm phải là số &gt;=0 và &lt;=10 " type="decimal" errorStyle="stop" operator="between">
      <formula1>0</formula1>
      <formula2>10</formula2>
    </dataValidation>
  </dataValidations>
  <printOptions horizontalCentered="0" verticalCentered="0" headings="0" gridLines="0" gridLinesSet="1"/>
  <pageMargins left="0.5" right="0" top="0.25" bottom="0.2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style="53" min="1" max="1"/>
    <col width="120" customWidth="1" style="53" min="2" max="2"/>
  </cols>
  <sheetData>
    <row r="1">
      <c r="A1" s="92" t="inlineStr">
        <is>
          <t>HƯỚNG DẪN SỬ DỤNG TEMPLATE (xóa sheet này khi xuất file gửi vnedu)</t>
        </is>
      </c>
      <c r="B1" s="93" t="n"/>
    </row>
    <row r="2">
      <c r="A2" s="94" t="inlineStr"/>
      <c r="B2" s="93" t="n"/>
    </row>
    <row r="3">
      <c r="A3" s="92" t="inlineStr">
        <is>
          <t>Sheet 'template' là bản sao bố cục file xuất của vnedu. Hệ thống eduexams nhân bản sheet này cho mỗi lớp, thay các token {{...}} và thêm/bớt dòng học sinh.</t>
        </is>
      </c>
      <c r="B3" s="93" t="n"/>
    </row>
    <row r="4">
      <c r="A4" s="94" t="inlineStr"/>
      <c r="B4" s="93" t="n"/>
    </row>
    <row r="5">
      <c r="A5" s="92" t="inlineStr">
        <is>
          <t>Token</t>
        </is>
      </c>
      <c r="B5" s="95" t="inlineStr">
        <is>
          <t>Ô / ý nghĩa  (kiểu dữ liệu khi ghi vào ô)</t>
        </is>
      </c>
    </row>
    <row r="6">
      <c r="A6" s="94" t="inlineStr">
        <is>
          <t>{{don_vi_chu_quan}}</t>
        </is>
      </c>
      <c r="B6" s="96" t="inlineStr">
        <is>
          <t>A1 – VD: ỦY BAN NHÂN DÂN PHƯỜNG VĨNH CHÂU (chuỗi)</t>
        </is>
      </c>
    </row>
    <row r="7">
      <c r="A7" s="94" t="inlineStr">
        <is>
          <t>{{truong}}</t>
        </is>
      </c>
      <c r="B7" s="96" t="inlineStr">
        <is>
          <t>A2 – VD: TRƯỜNG THCS CHÂU VĂN ĐƠ (chuỗi)</t>
        </is>
      </c>
    </row>
    <row r="8">
      <c r="A8" s="94" t="inlineStr">
        <is>
          <t>{{mon}}</t>
        </is>
      </c>
      <c r="B8" s="96" t="inlineStr">
        <is>
          <t>A3 – tên môn VIẾT HOA, VD: TIN HỌC</t>
        </is>
      </c>
    </row>
    <row r="9">
      <c r="A9" s="94" t="inlineStr">
        <is>
          <t>{{hoc_ky}}</t>
        </is>
      </c>
      <c r="B9" s="96" t="inlineStr">
        <is>
          <t>A3 – 1 hoặc 2</t>
        </is>
      </c>
    </row>
    <row r="10">
      <c r="A10" s="94" t="inlineStr">
        <is>
          <t>{{nam_hoc}}</t>
        </is>
      </c>
      <c r="B10" s="96" t="inlineStr">
        <is>
          <t>A3 – VD: 2026-2027</t>
        </is>
      </c>
    </row>
    <row r="11">
      <c r="A11" s="94" t="inlineStr">
        <is>
          <t>{{khoi}} / {{lop}}</t>
        </is>
      </c>
      <c r="B11" s="96" t="inlineStr">
        <is>
          <t>A4 – VD: 9 và 9A1  →  'Khối 9 - Lớp 9A1'</t>
        </is>
      </c>
    </row>
    <row r="12">
      <c r="A12" s="94" t="inlineStr">
        <is>
          <t>{{stt}}</t>
        </is>
      </c>
      <c r="B12" s="96" t="inlineStr">
        <is>
          <t>Cột A – số thứ tự (SỐ)</t>
        </is>
      </c>
    </row>
    <row r="13">
      <c r="A13" s="94" t="inlineStr">
        <is>
          <t>{{ma_hs}}</t>
        </is>
      </c>
      <c r="B13" s="96" t="inlineStr">
        <is>
          <t>Cột B (ẨN) – Mã học sinh, 10 chữ số (SỐ, không phải chuỗi). Đây là khóa để vnedu nhận diện học sinh – KHÔNG được ẩn/xóa/đổi.</t>
        </is>
      </c>
    </row>
    <row r="14">
      <c r="A14" s="94" t="inlineStr">
        <is>
          <t>{{ho_dem}}</t>
        </is>
      </c>
      <c r="B14" s="96" t="inlineStr">
        <is>
          <t>Cột C – họ và tên đệm, VD: Mai Thị Hoài (chuỗi)</t>
        </is>
      </c>
    </row>
    <row r="15">
      <c r="A15" s="94" t="inlineStr">
        <is>
          <t>{{ten}}</t>
        </is>
      </c>
      <c r="B15" s="96" t="inlineStr">
        <is>
          <t>Cột D – tên, VD: Anh (chuỗi)</t>
        </is>
      </c>
    </row>
    <row r="16">
      <c r="A16" s="94" t="inlineStr">
        <is>
          <t>{{ngay_sinh}}</t>
        </is>
      </c>
      <c r="B16" s="96" t="inlineStr">
        <is>
          <t>Cột E (ẨN) – dd/mm/yyyy (CHUỖI, giữ nguyên như vnedu)</t>
        </is>
      </c>
    </row>
    <row r="17">
      <c r="A17" s="94" t="inlineStr">
        <is>
          <t>{{tx1}}..{{tx4}}</t>
        </is>
      </c>
      <c r="B17" s="96" t="inlineStr">
        <is>
          <t>Cột F–I – điểm thường xuyên ĐĐGtx (SỐ 0–10, để trống nếu chưa có)</t>
        </is>
      </c>
    </row>
    <row r="18">
      <c r="A18" s="94" t="inlineStr">
        <is>
          <t>{{gk}}</t>
        </is>
      </c>
      <c r="B18" s="96" t="inlineStr">
        <is>
          <t>Cột J – điểm giữa kỳ ĐĐGgk (SỐ 0–10 hoặc trống)</t>
        </is>
      </c>
    </row>
    <row r="19">
      <c r="A19" s="94" t="inlineStr">
        <is>
          <t>{{ck}}</t>
        </is>
      </c>
      <c r="B19" s="96" t="inlineStr">
        <is>
          <t>Cột K – điểm cuối kỳ ĐĐGck (SỐ 0–10 hoặc trống)</t>
        </is>
      </c>
    </row>
    <row r="20">
      <c r="A20" s="94" t="inlineStr">
        <is>
          <t>(công thức)</t>
        </is>
      </c>
      <c r="B20" s="96" t="inlineStr">
        <is>
          <t>Cột L – ĐTB mhk: GIỮ NGUYÊN công thức của vnedu, không ghi đè bằng giá trị</t>
        </is>
      </c>
    </row>
    <row r="21">
      <c r="A21" s="94" t="inlineStr">
        <is>
          <t>{{nhan_xet}}</t>
        </is>
      </c>
      <c r="B21" s="96" t="inlineStr">
        <is>
          <t>Cột M – nhận xét (chuỗi hoặc trống)</t>
        </is>
      </c>
    </row>
    <row r="22">
      <c r="A22" s="92" t="inlineStr"/>
      <c r="B22" s="93" t="n"/>
    </row>
    <row r="23">
      <c r="A23" s="92" t="inlineStr">
        <is>
          <t>Quy ước khác</t>
        </is>
      </c>
      <c r="B23" s="93" t="n"/>
    </row>
    <row r="24">
      <c r="A24" s="94" t="inlineStr">
        <is>
          <t>Tên sheet</t>
        </is>
      </c>
      <c r="B24" s="96" t="inlineStr">
        <is>
          <t>Mỗi lớp 1 sheet, đặt dạng &lt;mon&gt;_&lt;lop&gt; chữ thường, không dấu: tin_hoc_9a1, tin_hoc_7a6 (giống file vnedu xuất).</t>
        </is>
      </c>
    </row>
    <row r="25">
      <c r="A25" s="94" t="inlineStr">
        <is>
          <t>Dòng học sinh</t>
        </is>
      </c>
      <c r="B25" s="96" t="inlineStr">
        <is>
          <t>Dòng 8 là dòng mẫu cho 1 học sinh. Với N học sinh: dùng dòng 8 → 8+N-1, sau đó là khối 'THỐNG KÊ HỌC KỲ' (dịch xuống tương ứng).</t>
        </is>
      </c>
    </row>
    <row r="26">
      <c r="A26" s="94" t="inlineStr">
        <is>
          <t>Ô trống</t>
        </is>
      </c>
      <c r="B26" s="96" t="inlineStr">
        <is>
          <t>Điểm chưa có phải để ô TRỐNG thật sự (None), không ghi '' hay 0.</t>
        </is>
      </c>
    </row>
    <row r="27">
      <c r="A27" s="94" t="inlineStr">
        <is>
          <t>Khối thống kê</t>
        </is>
      </c>
      <c r="B27" s="96" t="inlineStr">
        <is>
          <t>Ô Q (chữ trắng, rất nhỏ) chứa ngưỡng 7.95 / 6.45 / 4.95 cho Tốt / Khá / Đạt – giữ nguyên.</t>
        </is>
      </c>
    </row>
    <row r="28">
      <c r="A28" s="94" t="inlineStr">
        <is>
          <t>Kiểm tra dữ liệu</t>
        </is>
      </c>
      <c r="B28" s="96" t="inlineStr">
        <is>
          <t>Điểm phải là số trong khoảng 0–10 (data validation của vnedu, tự mở rộng đến dòng học sinh cuối).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tienvnpt</dc:creator>
  <dc:title xmlns:dc="http://purl.org/dc/elements/1.1/">Untitled Spreadsheet</dc:title>
  <dc:language xmlns:dc="http://purl.org/dc/elements/1.1/">en-US</dc:language>
  <dcterms:created xmlns:dcterms="http://purl.org/dc/terms/" xmlns:xsi="http://www.w3.org/2001/XMLSchema-instance" xsi:type="dcterms:W3CDTF">2014-10-22T08:49:45Z</dcterms:created>
  <dcterms:modified xmlns:dcterms="http://purl.org/dc/terms/" xmlns:xsi="http://www.w3.org/2001/XMLSchema-instance" xsi:type="dcterms:W3CDTF">2026-10-24T13:53:37Z</dcterms:modified>
  <cp:lastModifiedBy>Nguyen Hung</cp:lastModifiedBy>
  <cp:revision>0</cp:revision>
</cp:coreProperties>
</file>