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al\Downloads\"/>
    </mc:Choice>
  </mc:AlternateContent>
  <xr:revisionPtr revIDLastSave="0" documentId="8_{53ACD69D-FD29-4F22-B1B3-9B35B2671D29}" xr6:coauthVersionLast="47" xr6:coauthVersionMax="47" xr10:uidLastSave="{00000000-0000-0000-0000-000000000000}"/>
  <bookViews>
    <workbookView xWindow="-110" yWindow="-110" windowWidth="19420" windowHeight="11500" xr2:uid="{9EF4AB47-AB1E-438B-B4E4-AAC55D0B93BE}"/>
  </bookViews>
  <sheets>
    <sheet name="tin_hoc_7a1" sheetId="1" r:id="rId1"/>
    <sheet name="tin_hoc_7a2" sheetId="2" r:id="rId2"/>
    <sheet name="tin_hoc_7a3" sheetId="3" r:id="rId3"/>
    <sheet name="tin_hoc_7a4" sheetId="4" r:id="rId4"/>
    <sheet name="tin_hoc_7a5" sheetId="5" r:id="rId5"/>
    <sheet name="tin_hoc_7a6" sheetId="6" r:id="rId6"/>
    <sheet name="tin_hoc_7a7" sheetId="7" r:id="rId7"/>
    <sheet name="tin_hoc_7a8" sheetId="8" r:id="rId8"/>
    <sheet name="tin_hoc_8a1" sheetId="9" r:id="rId9"/>
    <sheet name="tin_hoc_8a2" sheetId="10" r:id="rId10"/>
    <sheet name="tin_hoc_8a3" sheetId="11" r:id="rId11"/>
    <sheet name="tin_hoc_8a4" sheetId="12" r:id="rId12"/>
    <sheet name="tin_hoc_8a5" sheetId="13" r:id="rId13"/>
    <sheet name="tin_hoc_8a6" sheetId="14" r:id="rId14"/>
    <sheet name="tin_hoc_8a7" sheetId="15" r:id="rId15"/>
    <sheet name="tin_hoc_8a8" sheetId="16" r:id="rId16"/>
    <sheet name="tin_hoc_8a9" sheetId="17" r:id="rId17"/>
    <sheet name="tin_hoc_9a1" sheetId="18" r:id="rId18"/>
    <sheet name="tin_hoc_9a3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8" i="1"/>
  <c r="L9" i="1"/>
  <c r="L10" i="1"/>
  <c r="L11" i="1"/>
  <c r="L12" i="1"/>
  <c r="L13" i="1"/>
  <c r="L14" i="1"/>
  <c r="L15" i="1"/>
  <c r="F53" i="1" s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" i="2"/>
  <c r="L8" i="2"/>
  <c r="L9" i="2"/>
  <c r="L10" i="2"/>
  <c r="L11" i="2"/>
  <c r="F59" i="2" s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" i="3"/>
  <c r="L8" i="3"/>
  <c r="L9" i="3"/>
  <c r="F58" i="3" s="1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" i="4"/>
  <c r="L8" i="4"/>
  <c r="F53" i="4" s="1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" i="5"/>
  <c r="L8" i="5"/>
  <c r="F54" i="5" s="1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F53" i="6"/>
  <c r="L5" i="7"/>
  <c r="L8" i="7"/>
  <c r="L9" i="7"/>
  <c r="F54" i="7" s="1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" i="8"/>
  <c r="L8" i="8"/>
  <c r="L9" i="8"/>
  <c r="F53" i="8" s="1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F56" i="9"/>
  <c r="L5" i="10"/>
  <c r="L8" i="10"/>
  <c r="L9" i="10"/>
  <c r="F56" i="10" s="1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" i="11"/>
  <c r="L8" i="11"/>
  <c r="F56" i="11" s="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F51" i="12" s="1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5" i="13"/>
  <c r="L8" i="13"/>
  <c r="L9" i="13"/>
  <c r="L10" i="13"/>
  <c r="L11" i="13"/>
  <c r="L12" i="13"/>
  <c r="L13" i="13"/>
  <c r="L14" i="13"/>
  <c r="L15" i="13"/>
  <c r="F54" i="13" s="1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" i="14"/>
  <c r="L8" i="14"/>
  <c r="L9" i="14"/>
  <c r="L10" i="14"/>
  <c r="F51" i="14" s="1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5" i="15"/>
  <c r="L8" i="15"/>
  <c r="F48" i="15" s="1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5" i="16"/>
  <c r="L8" i="16"/>
  <c r="L9" i="16"/>
  <c r="F50" i="16" s="1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5" i="17"/>
  <c r="L8" i="17"/>
  <c r="F49" i="17" s="1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5" i="18"/>
  <c r="L8" i="18"/>
  <c r="F48" i="18" s="1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5" i="19"/>
  <c r="L8" i="19"/>
  <c r="F52" i="19" s="1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F57" i="10" l="1"/>
  <c r="I56" i="10"/>
  <c r="I58" i="3"/>
  <c r="F59" i="3"/>
  <c r="I54" i="7"/>
  <c r="F55" i="7"/>
  <c r="I49" i="17"/>
  <c r="F50" i="17"/>
  <c r="F52" i="14"/>
  <c r="I51" i="14"/>
  <c r="F57" i="11"/>
  <c r="I56" i="11"/>
  <c r="F49" i="18"/>
  <c r="I48" i="18"/>
  <c r="I48" i="15"/>
  <c r="F49" i="15"/>
  <c r="I52" i="19"/>
  <c r="F53" i="19"/>
  <c r="I53" i="8"/>
  <c r="F54" i="8"/>
  <c r="I54" i="5"/>
  <c r="F55" i="5"/>
  <c r="F51" i="16"/>
  <c r="I50" i="16"/>
  <c r="I54" i="13"/>
  <c r="F55" i="13"/>
  <c r="I51" i="12"/>
  <c r="F52" i="12"/>
  <c r="I53" i="4"/>
  <c r="F54" i="4"/>
  <c r="F60" i="2"/>
  <c r="I59" i="2"/>
  <c r="I53" i="1"/>
  <c r="F54" i="1"/>
  <c r="F57" i="9"/>
  <c r="F54" i="6"/>
  <c r="I56" i="9"/>
  <c r="I53" i="6"/>
  <c r="I60" i="2" l="1"/>
  <c r="F61" i="2"/>
  <c r="I55" i="7"/>
  <c r="F56" i="7"/>
  <c r="I56" i="7" s="1"/>
  <c r="I55" i="5"/>
  <c r="F56" i="5"/>
  <c r="I54" i="4"/>
  <c r="F55" i="4"/>
  <c r="I55" i="4" s="1"/>
  <c r="I54" i="8"/>
  <c r="F55" i="8"/>
  <c r="I55" i="8" s="1"/>
  <c r="I52" i="14"/>
  <c r="F53" i="14"/>
  <c r="I53" i="14" s="1"/>
  <c r="F55" i="6"/>
  <c r="I54" i="6"/>
  <c r="F56" i="13"/>
  <c r="I56" i="13" s="1"/>
  <c r="I55" i="13"/>
  <c r="F58" i="9"/>
  <c r="I58" i="9" s="1"/>
  <c r="I57" i="9"/>
  <c r="F55" i="1"/>
  <c r="I54" i="1"/>
  <c r="F56" i="4"/>
  <c r="I56" i="4" s="1"/>
  <c r="I49" i="18"/>
  <c r="F50" i="18"/>
  <c r="I59" i="3"/>
  <c r="F60" i="3"/>
  <c r="F59" i="9"/>
  <c r="I59" i="9" s="1"/>
  <c r="I50" i="17"/>
  <c r="F51" i="17"/>
  <c r="I57" i="10"/>
  <c r="F58" i="10"/>
  <c r="I51" i="16"/>
  <c r="F52" i="16"/>
  <c r="I52" i="16" s="1"/>
  <c r="I53" i="19"/>
  <c r="F54" i="19"/>
  <c r="I54" i="19" s="1"/>
  <c r="F53" i="12"/>
  <c r="I53" i="12" s="1"/>
  <c r="I52" i="12"/>
  <c r="I49" i="15"/>
  <c r="F50" i="15"/>
  <c r="I50" i="15" s="1"/>
  <c r="I57" i="11"/>
  <c r="F58" i="11"/>
  <c r="I58" i="11" s="1"/>
  <c r="F57" i="7"/>
  <c r="I57" i="7" s="1"/>
  <c r="I61" i="2" l="1"/>
  <c r="F62" i="2"/>
  <c r="I62" i="2" s="1"/>
  <c r="F54" i="14"/>
  <c r="I54" i="14" s="1"/>
  <c r="I58" i="10"/>
  <c r="F59" i="10"/>
  <c r="I59" i="10" s="1"/>
  <c r="F59" i="11"/>
  <c r="I59" i="11" s="1"/>
  <c r="I55" i="1"/>
  <c r="F56" i="1"/>
  <c r="I56" i="1" s="1"/>
  <c r="I50" i="18"/>
  <c r="F51" i="18"/>
  <c r="I51" i="18" s="1"/>
  <c r="F53" i="16"/>
  <c r="I53" i="16" s="1"/>
  <c r="F54" i="12"/>
  <c r="I54" i="12" s="1"/>
  <c r="I60" i="3"/>
  <c r="F61" i="3"/>
  <c r="I61" i="3" s="1"/>
  <c r="I51" i="17"/>
  <c r="F52" i="17"/>
  <c r="I52" i="17" s="1"/>
  <c r="F56" i="8"/>
  <c r="I56" i="8" s="1"/>
  <c r="I56" i="5"/>
  <c r="F57" i="5"/>
  <c r="I57" i="5" s="1"/>
  <c r="F51" i="15"/>
  <c r="I51" i="15" s="1"/>
  <c r="I55" i="6"/>
  <c r="F56" i="6"/>
  <c r="I56" i="6" s="1"/>
  <c r="F55" i="19"/>
  <c r="I55" i="19" s="1"/>
  <c r="F57" i="13"/>
  <c r="I57" i="13" s="1"/>
</calcChain>
</file>

<file path=xl/sharedStrings.xml><?xml version="1.0" encoding="utf-8"?>
<sst xmlns="http://schemas.openxmlformats.org/spreadsheetml/2006/main" count="3860" uniqueCount="1476">
  <si>
    <t>ỦY BAN NHÂN DÂN PHƯỜNG VĨNH CHÂU</t>
  </si>
  <si>
    <t>TRƯỜNG THCS CHÂU VĂN ĐƠ</t>
  </si>
  <si>
    <t>BẢNG ĐIỂM CHI TIẾT - MÔN TIN HỌC - HỌC KỲ 1 - NĂM HỌC 2025-2026</t>
  </si>
  <si>
    <t>Khối 7 - Lớp 7A1</t>
  </si>
  <si>
    <t>STT</t>
  </si>
  <si>
    <t>Mã học sinh</t>
  </si>
  <si>
    <t>Họ và tên</t>
  </si>
  <si>
    <t>Ngày sinh</t>
  </si>
  <si>
    <t>ĐĐGtx</t>
  </si>
  <si>
    <t>ĐĐGgk</t>
  </si>
  <si>
    <t>ĐĐGck</t>
  </si>
  <si>
    <t>ĐTB 
mhk</t>
  </si>
  <si>
    <t>Nhận xét</t>
  </si>
  <si>
    <t>TX1</t>
  </si>
  <si>
    <t>TX2</t>
  </si>
  <si>
    <t>TX3</t>
  </si>
  <si>
    <t>TX4</t>
  </si>
  <si>
    <t>GK1</t>
  </si>
  <si>
    <t>CK1</t>
  </si>
  <si>
    <t>Nguyễn Liêu Khả</t>
  </si>
  <si>
    <t>Ái</t>
  </si>
  <si>
    <t>03/02/2013</t>
  </si>
  <si>
    <t>Chăm chỉ học tập, rất tích cực phát biểu, gương mẫu cho học sinh.</t>
  </si>
  <si>
    <t>Đinh Dương Việt</t>
  </si>
  <si>
    <t>Anh</t>
  </si>
  <si>
    <t>13/11/2013</t>
  </si>
  <si>
    <t>Hồng Vũ Phương</t>
  </si>
  <si>
    <t>11/05/2013</t>
  </si>
  <si>
    <t>Lý Nguyễn Vân</t>
  </si>
  <si>
    <t>06/04/2013</t>
  </si>
  <si>
    <t>Mai Ngọc Khánh</t>
  </si>
  <si>
    <t>Băng</t>
  </si>
  <si>
    <t>16/01/2013</t>
  </si>
  <si>
    <t>Có cố gắng, cần phát huy thêm.</t>
  </si>
  <si>
    <t>Lê Ngọc</t>
  </si>
  <si>
    <t>Châu</t>
  </si>
  <si>
    <t>14/01/2013</t>
  </si>
  <si>
    <t>Thái Ngọc</t>
  </si>
  <si>
    <t>08/03/2013</t>
  </si>
  <si>
    <t>Châu Thị Mỹ</t>
  </si>
  <si>
    <t>Dung</t>
  </si>
  <si>
    <t>18/03/2013</t>
  </si>
  <si>
    <t>Siêng học, cần phát huy thêm.</t>
  </si>
  <si>
    <t>Trịnh Hoàng</t>
  </si>
  <si>
    <t>Đăng</t>
  </si>
  <si>
    <t>24/04/2013</t>
  </si>
  <si>
    <t>Châu Thế</t>
  </si>
  <si>
    <t>Hào</t>
  </si>
  <si>
    <t>14/07/2013</t>
  </si>
  <si>
    <t>Nguyễn Gia</t>
  </si>
  <si>
    <t>Hân</t>
  </si>
  <si>
    <t>09/01/2013</t>
  </si>
  <si>
    <t>Dương</t>
  </si>
  <si>
    <t>Hậu</t>
  </si>
  <si>
    <t>30/06/2012</t>
  </si>
  <si>
    <t>Trần Đức</t>
  </si>
  <si>
    <t>Hiền</t>
  </si>
  <si>
    <t>11/11/2013</t>
  </si>
  <si>
    <t>Mai Trúc</t>
  </si>
  <si>
    <t>Huy</t>
  </si>
  <si>
    <t>02/09/2013</t>
  </si>
  <si>
    <t>Trần Minh</t>
  </si>
  <si>
    <t>02/07/2013</t>
  </si>
  <si>
    <t>Lê Đăng</t>
  </si>
  <si>
    <t>Khoa</t>
  </si>
  <si>
    <t>01/04/2013</t>
  </si>
  <si>
    <t>Ngô Anh</t>
  </si>
  <si>
    <t>13/10/2013</t>
  </si>
  <si>
    <t>Nguyễn Quốc</t>
  </si>
  <si>
    <t>Kiệt</t>
  </si>
  <si>
    <t>24/12/2013</t>
  </si>
  <si>
    <t>Võ Hoàng</t>
  </si>
  <si>
    <t>Long</t>
  </si>
  <si>
    <t>15/09/2012</t>
  </si>
  <si>
    <t>Nguyễn Khánh</t>
  </si>
  <si>
    <t>Ly</t>
  </si>
  <si>
    <t>16/04/2013</t>
  </si>
  <si>
    <t>Trần Tuyết</t>
  </si>
  <si>
    <t>Mai</t>
  </si>
  <si>
    <t>07/06/2013</t>
  </si>
  <si>
    <t>Tăng Thị Kiều</t>
  </si>
  <si>
    <t>Mi</t>
  </si>
  <si>
    <t>16/05/2013</t>
  </si>
  <si>
    <t>Thạch Thị Hồng</t>
  </si>
  <si>
    <t>My</t>
  </si>
  <si>
    <t>18/04/2013</t>
  </si>
  <si>
    <t>Hà Hải</t>
  </si>
  <si>
    <t>Nam</t>
  </si>
  <si>
    <t>23/10/2013</t>
  </si>
  <si>
    <t>Nguyễn Giang Thùy</t>
  </si>
  <si>
    <t>Ngân</t>
  </si>
  <si>
    <t>11/03/2013</t>
  </si>
  <si>
    <t>Phan Tuệ</t>
  </si>
  <si>
    <t>13/04/2013</t>
  </si>
  <si>
    <t>Dương Minh</t>
  </si>
  <si>
    <t>Nghĩa</t>
  </si>
  <si>
    <t>01/12/2013</t>
  </si>
  <si>
    <t>Tôn Bảo</t>
  </si>
  <si>
    <t>Ngọc</t>
  </si>
  <si>
    <t>08/12/2013</t>
  </si>
  <si>
    <t>Trương Huỳnh</t>
  </si>
  <si>
    <t>21/11/2013</t>
  </si>
  <si>
    <t>Trịnh Đức</t>
  </si>
  <si>
    <t>Nhân</t>
  </si>
  <si>
    <t>Trần Tú</t>
  </si>
  <si>
    <t>Nhi</t>
  </si>
  <si>
    <t>07/05/2013</t>
  </si>
  <si>
    <t>Lâm Thùy Ái</t>
  </si>
  <si>
    <t>Như</t>
  </si>
  <si>
    <t>18/07/2013</t>
  </si>
  <si>
    <t>Vương Gia</t>
  </si>
  <si>
    <t>Phát</t>
  </si>
  <si>
    <t>17/06/2013</t>
  </si>
  <si>
    <t>Trần Nguyễn Kiến</t>
  </si>
  <si>
    <t>Phi</t>
  </si>
  <si>
    <t>07/12/2013</t>
  </si>
  <si>
    <t>Phạm Phú</t>
  </si>
  <si>
    <t>Phúc</t>
  </si>
  <si>
    <t>03/05/2013</t>
  </si>
  <si>
    <t>Đổng Khả</t>
  </si>
  <si>
    <t>Quyên</t>
  </si>
  <si>
    <t>Lê</t>
  </si>
  <si>
    <t>Thanh</t>
  </si>
  <si>
    <t>14/02/2013</t>
  </si>
  <si>
    <t>Lê Bảo</t>
  </si>
  <si>
    <t>Thy</t>
  </si>
  <si>
    <t>04/07/2013</t>
  </si>
  <si>
    <t>Lý Nguyễn</t>
  </si>
  <si>
    <t>Tiến</t>
  </si>
  <si>
    <t>23/11/2013</t>
  </si>
  <si>
    <t>Trần Hồng Kiến</t>
  </si>
  <si>
    <t>Trung</t>
  </si>
  <si>
    <t>Trần Ân</t>
  </si>
  <si>
    <t>Tuấn</t>
  </si>
  <si>
    <t>21/04/2013</t>
  </si>
  <si>
    <t>Thạch Diệp Tường</t>
  </si>
  <si>
    <t>Vân</t>
  </si>
  <si>
    <t>07/01/2013</t>
  </si>
  <si>
    <t>Đoàn Ngọc Khánh</t>
  </si>
  <si>
    <t>Vy</t>
  </si>
  <si>
    <t>14/11/2013</t>
  </si>
  <si>
    <t>THỐNG KÊ HỌC KỲ 1</t>
  </si>
  <si>
    <t>Số học sinh đạt</t>
  </si>
  <si>
    <t>Tốt</t>
  </si>
  <si>
    <t>-</t>
  </si>
  <si>
    <t>Số lượng - Tỉ lệ (%)</t>
  </si>
  <si>
    <t>Khá</t>
  </si>
  <si>
    <t>Đạt</t>
  </si>
  <si>
    <t>Chưa Đạt</t>
  </si>
  <si>
    <t>Khối 7 - Lớp 7A2</t>
  </si>
  <si>
    <t>Hồ Trâm</t>
  </si>
  <si>
    <t>16/03/2013</t>
  </si>
  <si>
    <t>Huỳnh Hoài</t>
  </si>
  <si>
    <t>06/02/2013</t>
  </si>
  <si>
    <t>Nguyễn Lan</t>
  </si>
  <si>
    <t>18/09/2013</t>
  </si>
  <si>
    <t>Lý Phú</t>
  </si>
  <si>
    <t>Bảo</t>
  </si>
  <si>
    <t>03/07/2013</t>
  </si>
  <si>
    <t>Võ Quốc</t>
  </si>
  <si>
    <t>24/05/2013</t>
  </si>
  <si>
    <t>Phạm Thanh</t>
  </si>
  <si>
    <t>Bình</t>
  </si>
  <si>
    <t>02/08/2013</t>
  </si>
  <si>
    <t>Lý Nguyễn Đình</t>
  </si>
  <si>
    <t>Cơ</t>
  </si>
  <si>
    <t>28/09/2013</t>
  </si>
  <si>
    <t>Lâm Ngọc</t>
  </si>
  <si>
    <t>Diễm</t>
  </si>
  <si>
    <t>15/07/2013</t>
  </si>
  <si>
    <t>Nguyễn Lâm Bảo</t>
  </si>
  <si>
    <t>Duy</t>
  </si>
  <si>
    <t>21/06/2013</t>
  </si>
  <si>
    <t>02/05/2013</t>
  </si>
  <si>
    <t>Nguyễn Hoàng Quốc</t>
  </si>
  <si>
    <t>Đại</t>
  </si>
  <si>
    <t>24/10/2013</t>
  </si>
  <si>
    <t>Lê Thanh</t>
  </si>
  <si>
    <t>Hải</t>
  </si>
  <si>
    <t>Lê Đào Khả</t>
  </si>
  <si>
    <t>23/01/2013</t>
  </si>
  <si>
    <t>Tăng Thị Thu</t>
  </si>
  <si>
    <t>26/01/2013</t>
  </si>
  <si>
    <t>Châu Gia</t>
  </si>
  <si>
    <t>20/03/2013</t>
  </si>
  <si>
    <t>Nguyễn Quách Trí</t>
  </si>
  <si>
    <t>Trần Thị Thanh</t>
  </si>
  <si>
    <t>Huyền</t>
  </si>
  <si>
    <t>11/01/2013</t>
  </si>
  <si>
    <t>Mai Lý Phúc</t>
  </si>
  <si>
    <t>Khang</t>
  </si>
  <si>
    <t>27/10/2013</t>
  </si>
  <si>
    <t>Phan An</t>
  </si>
  <si>
    <t>Trà Lê Minh</t>
  </si>
  <si>
    <t>Khôi</t>
  </si>
  <si>
    <t>17/04/2013</t>
  </si>
  <si>
    <t>15/06/2013</t>
  </si>
  <si>
    <t>Trà Thạch Trúc</t>
  </si>
  <si>
    <t>25/01/2013</t>
  </si>
  <si>
    <t>Trần Hiếu</t>
  </si>
  <si>
    <t>Lễ</t>
  </si>
  <si>
    <t>06/12/2013</t>
  </si>
  <si>
    <t>Nguyễn Quang</t>
  </si>
  <si>
    <t>Minh</t>
  </si>
  <si>
    <t>13/01/2013</t>
  </si>
  <si>
    <t>Đoàn Võ Hồng</t>
  </si>
  <si>
    <t>20/10/2013</t>
  </si>
  <si>
    <t>Huỳnh Như</t>
  </si>
  <si>
    <t>10/02/2013</t>
  </si>
  <si>
    <t>Ong Hoàng Gia</t>
  </si>
  <si>
    <t>10/01/2013</t>
  </si>
  <si>
    <t>Quách Bảo</t>
  </si>
  <si>
    <t>09/11/2013</t>
  </si>
  <si>
    <t>Lưu Nguyễn Phúc</t>
  </si>
  <si>
    <t>Nguyên</t>
  </si>
  <si>
    <t>Lâm Trúc</t>
  </si>
  <si>
    <t>Nguyệt</t>
  </si>
  <si>
    <t>04/01/2013</t>
  </si>
  <si>
    <t>Đoàn Thị Quỳnh</t>
  </si>
  <si>
    <t>30/01/2013</t>
  </si>
  <si>
    <t>Quách Vĩnh</t>
  </si>
  <si>
    <t>Quang</t>
  </si>
  <si>
    <t>20/01/2013</t>
  </si>
  <si>
    <t>Huỳnh Minh</t>
  </si>
  <si>
    <t>Quân</t>
  </si>
  <si>
    <t>12/01/2013</t>
  </si>
  <si>
    <t>Trần Ngọc Nhã</t>
  </si>
  <si>
    <t>Quỳnh</t>
  </si>
  <si>
    <t>25/06/2013</t>
  </si>
  <si>
    <t>Trần Thành</t>
  </si>
  <si>
    <t>Tâm</t>
  </si>
  <si>
    <t>10/09/2013</t>
  </si>
  <si>
    <t>Lê Nguyễn Duy</t>
  </si>
  <si>
    <t>Tân</t>
  </si>
  <si>
    <t>21/02/2013</t>
  </si>
  <si>
    <t>Nhan Bát</t>
  </si>
  <si>
    <t>Thành</t>
  </si>
  <si>
    <t>Trần Lâm Gia</t>
  </si>
  <si>
    <t>Thịnh</t>
  </si>
  <si>
    <t>22/06/2013</t>
  </si>
  <si>
    <t>Đồng Kim</t>
  </si>
  <si>
    <t>Thư</t>
  </si>
  <si>
    <t>05/10/2013</t>
  </si>
  <si>
    <t>Lý Đặng Anh</t>
  </si>
  <si>
    <t>09/06/2013</t>
  </si>
  <si>
    <t>Trần Anh</t>
  </si>
  <si>
    <t>25/08/2013</t>
  </si>
  <si>
    <t>Trần Nguyễn Khánh</t>
  </si>
  <si>
    <t>Lý Văn</t>
  </si>
  <si>
    <t>Tiền</t>
  </si>
  <si>
    <t>05/05/2013</t>
  </si>
  <si>
    <t>Trần Khải</t>
  </si>
  <si>
    <t>Tông</t>
  </si>
  <si>
    <t>28/06/2013</t>
  </si>
  <si>
    <t>Lý Ngọc Bảo</t>
  </si>
  <si>
    <t>Trân</t>
  </si>
  <si>
    <t>26/10/2013</t>
  </si>
  <si>
    <t>Ngô Quang</t>
  </si>
  <si>
    <t>Vinh</t>
  </si>
  <si>
    <t>02/02/2013</t>
  </si>
  <si>
    <t>Lê Huy</t>
  </si>
  <si>
    <t>Vũ</t>
  </si>
  <si>
    <t>Huỳnh Châu Thảo</t>
  </si>
  <si>
    <t>07/04/2013</t>
  </si>
  <si>
    <t>Trần Lê Ngọc Như</t>
  </si>
  <si>
    <t>20/04/2013</t>
  </si>
  <si>
    <t>Khối 7 - Lớp 7A3</t>
  </si>
  <si>
    <t>Huỳnh Khả</t>
  </si>
  <si>
    <t>09/07/2013</t>
  </si>
  <si>
    <t>Trần Thúy</t>
  </si>
  <si>
    <t>An</t>
  </si>
  <si>
    <t>24/11/2013</t>
  </si>
  <si>
    <t>Hồ Phương</t>
  </si>
  <si>
    <t>30/11/2013</t>
  </si>
  <si>
    <t>Chưa đạt, ý thức học kém, cần cố gắng nhiều hơn.</t>
  </si>
  <si>
    <t>Nguyễn Trần Quỳnh</t>
  </si>
  <si>
    <t>Hồng Gia</t>
  </si>
  <si>
    <t>28/03/2010</t>
  </si>
  <si>
    <t>Yên Bảo</t>
  </si>
  <si>
    <t>22/09/2013</t>
  </si>
  <si>
    <t>Hà Thị Ngọc</t>
  </si>
  <si>
    <t>Bích</t>
  </si>
  <si>
    <t>01/01/2013</t>
  </si>
  <si>
    <t>Lương Trần Anh</t>
  </si>
  <si>
    <t>Chương</t>
  </si>
  <si>
    <t>24/01/2013</t>
  </si>
  <si>
    <t>Sơn Thành</t>
  </si>
  <si>
    <t>26/11/2013</t>
  </si>
  <si>
    <t>Lâm Hải</t>
  </si>
  <si>
    <t>05/09/2013</t>
  </si>
  <si>
    <t>Lý Khả</t>
  </si>
  <si>
    <t>13/02/2013</t>
  </si>
  <si>
    <t>Phan Trần Gia</t>
  </si>
  <si>
    <t>Nguyễn Huỳnh Minh</t>
  </si>
  <si>
    <t>Hiếu</t>
  </si>
  <si>
    <t>27/06/2012</t>
  </si>
  <si>
    <t>Thạch Khải</t>
  </si>
  <si>
    <t>27/03/2013</t>
  </si>
  <si>
    <t>Châu Tấn</t>
  </si>
  <si>
    <t>Hưng</t>
  </si>
  <si>
    <t>20/11/2013</t>
  </si>
  <si>
    <t>Huỳnh Gia</t>
  </si>
  <si>
    <t>Khánh</t>
  </si>
  <si>
    <t>21/03/2013</t>
  </si>
  <si>
    <t>Lê Khả</t>
  </si>
  <si>
    <t>Linh</t>
  </si>
  <si>
    <t>Phạm Nguyễn Khánh</t>
  </si>
  <si>
    <t>20/08/2013</t>
  </si>
  <si>
    <t>Thạch Thị Phương</t>
  </si>
  <si>
    <t>15/10/2013</t>
  </si>
  <si>
    <t>Nguyễn Thị Ngọc</t>
  </si>
  <si>
    <t>16/02/2013</t>
  </si>
  <si>
    <t>Châu Nguyễn Minh</t>
  </si>
  <si>
    <t>24/08/2013</t>
  </si>
  <si>
    <t>Lý Bảo</t>
  </si>
  <si>
    <t>Sơn Ngọc</t>
  </si>
  <si>
    <t>26/02/2013</t>
  </si>
  <si>
    <t>Nguyễn Kim</t>
  </si>
  <si>
    <t>06/06/2013</t>
  </si>
  <si>
    <t>Nguyễn Ngọc</t>
  </si>
  <si>
    <t>29/05/2013</t>
  </si>
  <si>
    <t>Quản Ngọc Kim</t>
  </si>
  <si>
    <t>Vương Bảo</t>
  </si>
  <si>
    <t>Hàng Thị Khánh</t>
  </si>
  <si>
    <t>25/07/2013</t>
  </si>
  <si>
    <t>Sơn Ái</t>
  </si>
  <si>
    <t>Thạch Chí</t>
  </si>
  <si>
    <t>Đinh Thái</t>
  </si>
  <si>
    <t>Nhật</t>
  </si>
  <si>
    <t>Lê Lý An</t>
  </si>
  <si>
    <t>Từ Ái</t>
  </si>
  <si>
    <t>Phương</t>
  </si>
  <si>
    <t>Mai Ngọc Trúc</t>
  </si>
  <si>
    <t>05/07/2013</t>
  </si>
  <si>
    <t>Nguyễn Minh Nhựt</t>
  </si>
  <si>
    <t>01/07/2013</t>
  </si>
  <si>
    <t>Quách Thanh</t>
  </si>
  <si>
    <t>Lưu Phước</t>
  </si>
  <si>
    <t>Dương Kim</t>
  </si>
  <si>
    <t>Thoa</t>
  </si>
  <si>
    <t>14/12/2013</t>
  </si>
  <si>
    <t>Nguyễn Ngọc Bảo</t>
  </si>
  <si>
    <t>Thơ</t>
  </si>
  <si>
    <t>13/07/2013</t>
  </si>
  <si>
    <t>Trịnh Thị Huyền</t>
  </si>
  <si>
    <t>Trâm</t>
  </si>
  <si>
    <t>Trần Văn</t>
  </si>
  <si>
    <t>19/10/2011</t>
  </si>
  <si>
    <t>Tống Khánh</t>
  </si>
  <si>
    <t>Tường</t>
  </si>
  <si>
    <t>07/10/2013</t>
  </si>
  <si>
    <t>Trần Lê Ngọc Hoàng Hải</t>
  </si>
  <si>
    <t>Thạch Lâm Phúc</t>
  </si>
  <si>
    <t>27/07/2013</t>
  </si>
  <si>
    <t>Cang Ngọc Lan</t>
  </si>
  <si>
    <t>26/09/2013</t>
  </si>
  <si>
    <t>Trịnh Ái</t>
  </si>
  <si>
    <t>27/02/2013</t>
  </si>
  <si>
    <t>Trần Ngọc Bảo</t>
  </si>
  <si>
    <t>Yến</t>
  </si>
  <si>
    <t>Khối 7 - Lớp 7A4</t>
  </si>
  <si>
    <t>Huỳnh Quốc</t>
  </si>
  <si>
    <t>29/12/2012</t>
  </si>
  <si>
    <t>Huỳnh Tuấn</t>
  </si>
  <si>
    <t>Lý Minh</t>
  </si>
  <si>
    <t>Chí</t>
  </si>
  <si>
    <t>09/10/2013</t>
  </si>
  <si>
    <t>Bùi Chí</t>
  </si>
  <si>
    <t>23/12/2012</t>
  </si>
  <si>
    <t>Tôn Hạnh</t>
  </si>
  <si>
    <t>Duyên</t>
  </si>
  <si>
    <t>18/06/2013</t>
  </si>
  <si>
    <t>Khưu Mỹ</t>
  </si>
  <si>
    <t>Đình</t>
  </si>
  <si>
    <t>Nguyễn Duy</t>
  </si>
  <si>
    <t>Đỉnh</t>
  </si>
  <si>
    <t>09/03/2013</t>
  </si>
  <si>
    <t>Trần Ngọc</t>
  </si>
  <si>
    <t>20/02/2013</t>
  </si>
  <si>
    <t>Nguyễn Minh</t>
  </si>
  <si>
    <t>Nguyễn Trọng</t>
  </si>
  <si>
    <t>Trần công</t>
  </si>
  <si>
    <t>Thạch Minh</t>
  </si>
  <si>
    <t>28/11/2013</t>
  </si>
  <si>
    <t>02/10/2012</t>
  </si>
  <si>
    <t>Huỳnh Đăng</t>
  </si>
  <si>
    <t>22/03/2013</t>
  </si>
  <si>
    <t>Trần Trung</t>
  </si>
  <si>
    <t>Kiên</t>
  </si>
  <si>
    <t>25/07/2012</t>
  </si>
  <si>
    <t>Lâm An</t>
  </si>
  <si>
    <t>15/05/2013</t>
  </si>
  <si>
    <t>Lâm Thị Mỹ</t>
  </si>
  <si>
    <t>Cao Hoàng</t>
  </si>
  <si>
    <t>Tô Đình</t>
  </si>
  <si>
    <t>Mạnh</t>
  </si>
  <si>
    <t>Đổ Thảo</t>
  </si>
  <si>
    <t>22/02/2013</t>
  </si>
  <si>
    <t>Thạch Thị ÁI</t>
  </si>
  <si>
    <t>09/08/2012</t>
  </si>
  <si>
    <t>Nguyễn Hạo</t>
  </si>
  <si>
    <t>25/12/2013</t>
  </si>
  <si>
    <t>Đỗ Tú</t>
  </si>
  <si>
    <t>06/09/2012</t>
  </si>
  <si>
    <t>Kim Thị Bé</t>
  </si>
  <si>
    <t>15/04/2013</t>
  </si>
  <si>
    <t>Lai Hoàng</t>
  </si>
  <si>
    <t>Mai Trọng</t>
  </si>
  <si>
    <t>10/08/2013</t>
  </si>
  <si>
    <t>Thạch Thị</t>
  </si>
  <si>
    <t>Oanh</t>
  </si>
  <si>
    <t>26/12/2013</t>
  </si>
  <si>
    <t>Nguyễn Thành</t>
  </si>
  <si>
    <t>27/04/2013</t>
  </si>
  <si>
    <t>Dư Ngọc Phương</t>
  </si>
  <si>
    <t>Hà Quế</t>
  </si>
  <si>
    <t>Sơn</t>
  </si>
  <si>
    <t>29/11/2013</t>
  </si>
  <si>
    <t>Nguyễn Tấn</t>
  </si>
  <si>
    <t>Sỷ</t>
  </si>
  <si>
    <t>08/01/2013</t>
  </si>
  <si>
    <t>Mai Thiện</t>
  </si>
  <si>
    <t>12/08/2012</t>
  </si>
  <si>
    <t>Nguyễn Thanh</t>
  </si>
  <si>
    <t>Tấn</t>
  </si>
  <si>
    <t>11/10/2013</t>
  </si>
  <si>
    <t>Đào Phúc</t>
  </si>
  <si>
    <t>Thái</t>
  </si>
  <si>
    <t>07/03/2013</t>
  </si>
  <si>
    <t>Thạch Kim</t>
  </si>
  <si>
    <t>Thạnh</t>
  </si>
  <si>
    <t>30/03/2013</t>
  </si>
  <si>
    <t>Lê Huỳnh Anh</t>
  </si>
  <si>
    <t>15/12/2013</t>
  </si>
  <si>
    <t>Trần Thị Ngọc</t>
  </si>
  <si>
    <t>Tiên</t>
  </si>
  <si>
    <t>22/02/2012</t>
  </si>
  <si>
    <t>23/02/2013</t>
  </si>
  <si>
    <t>Lâm Gia</t>
  </si>
  <si>
    <t>Toàn</t>
  </si>
  <si>
    <t>24/06/2012</t>
  </si>
  <si>
    <t>Nguyễn Thế</t>
  </si>
  <si>
    <t>25/04/2013</t>
  </si>
  <si>
    <t>02/04/2013</t>
  </si>
  <si>
    <t>Trần Quốc</t>
  </si>
  <si>
    <t>02/12/2013</t>
  </si>
  <si>
    <t>Trần Thị Thuý</t>
  </si>
  <si>
    <t>Khối 7 - Lớp 7A5</t>
  </si>
  <si>
    <t>Trà Thị Duy</t>
  </si>
  <si>
    <t>20/12/2012</t>
  </si>
  <si>
    <t>Đoàn Tuấn</t>
  </si>
  <si>
    <t>06/11/2012</t>
  </si>
  <si>
    <t>Ngô Gia</t>
  </si>
  <si>
    <t>16/08/2012</t>
  </si>
  <si>
    <t>Trần Yến</t>
  </si>
  <si>
    <t>Liêu Hồng</t>
  </si>
  <si>
    <t>Cương</t>
  </si>
  <si>
    <t>20/06/2013</t>
  </si>
  <si>
    <t>Lý Thị Mỹ</t>
  </si>
  <si>
    <t>07/03/2012</t>
  </si>
  <si>
    <t>Chưa đạt, chưa cố gắng học, cần nghiêm túc hơn.</t>
  </si>
  <si>
    <t>Dương Thùy</t>
  </si>
  <si>
    <t>24/09/2013</t>
  </si>
  <si>
    <t>Lưu Hòa</t>
  </si>
  <si>
    <t>06/11/2013</t>
  </si>
  <si>
    <t>Thạch Trung</t>
  </si>
  <si>
    <t>06/03/2013</t>
  </si>
  <si>
    <t>Ngô Đức</t>
  </si>
  <si>
    <t>Hòa</t>
  </si>
  <si>
    <t>28/12/2011</t>
  </si>
  <si>
    <t>Trương Thái</t>
  </si>
  <si>
    <t>Trần Gia</t>
  </si>
  <si>
    <t>Đào Thị Bé</t>
  </si>
  <si>
    <t>Huynh</t>
  </si>
  <si>
    <t>Trịnh Vĩ</t>
  </si>
  <si>
    <t>15/01/2013</t>
  </si>
  <si>
    <t>Huỳnh Xuân</t>
  </si>
  <si>
    <t>24/11/2012</t>
  </si>
  <si>
    <t>Danh Minh</t>
  </si>
  <si>
    <t>Khởi</t>
  </si>
  <si>
    <t>Lý Tuấn</t>
  </si>
  <si>
    <t>13/09/2013</t>
  </si>
  <si>
    <t>Trần Tuấn</t>
  </si>
  <si>
    <t>21/01/2013</t>
  </si>
  <si>
    <t>Dương Văn</t>
  </si>
  <si>
    <t>20/11/2012</t>
  </si>
  <si>
    <t>Hồng Thanh</t>
  </si>
  <si>
    <t>Lộc</t>
  </si>
  <si>
    <t>24/02/2012</t>
  </si>
  <si>
    <t>Bùi Đức</t>
  </si>
  <si>
    <t>29/09/2013</t>
  </si>
  <si>
    <t>Quách Chiêu</t>
  </si>
  <si>
    <t>07/01/2012</t>
  </si>
  <si>
    <t>Huỳnh Chí</t>
  </si>
  <si>
    <t>Huỳnh Lâm Tuyết</t>
  </si>
  <si>
    <t>21/09/2013</t>
  </si>
  <si>
    <t>Ôn Huỳnh Thảo</t>
  </si>
  <si>
    <t>01/09/2013</t>
  </si>
  <si>
    <t>Thạch Triệu Ngọc</t>
  </si>
  <si>
    <t>04/09/2013</t>
  </si>
  <si>
    <t>Đào Minh</t>
  </si>
  <si>
    <t>Quốc</t>
  </si>
  <si>
    <t>17/10/2013</t>
  </si>
  <si>
    <t>Lâm Thị Ngọc</t>
  </si>
  <si>
    <t>29/01/2013</t>
  </si>
  <si>
    <t>Lâm Minh</t>
  </si>
  <si>
    <t>Rọn</t>
  </si>
  <si>
    <t>Trần Chế</t>
  </si>
  <si>
    <t>07/11/2009</t>
  </si>
  <si>
    <t>Quách Văn</t>
  </si>
  <si>
    <t>Lê Hoài</t>
  </si>
  <si>
    <t>Thương</t>
  </si>
  <si>
    <t>19/04/2013</t>
  </si>
  <si>
    <t>31/07/2013</t>
  </si>
  <si>
    <t>Nhan Văn</t>
  </si>
  <si>
    <t>Tình</t>
  </si>
  <si>
    <t>01/01/2011</t>
  </si>
  <si>
    <t>Lý Duy</t>
  </si>
  <si>
    <t>Tính</t>
  </si>
  <si>
    <t>16/03/2012</t>
  </si>
  <si>
    <t>Trương Ngọc Bích</t>
  </si>
  <si>
    <t>Nguyễn Đức</t>
  </si>
  <si>
    <t>28/02/2013</t>
  </si>
  <si>
    <t>Lâm Mỹ</t>
  </si>
  <si>
    <t>Tú</t>
  </si>
  <si>
    <t>Trần Mỹ Nhật</t>
  </si>
  <si>
    <t>Hồ Hải</t>
  </si>
  <si>
    <t>Phạm Nguyễn Bảo</t>
  </si>
  <si>
    <t>06/01/2013</t>
  </si>
  <si>
    <t>Hoàng Nguyên</t>
  </si>
  <si>
    <t>08/12/2012</t>
  </si>
  <si>
    <t>Khối 7 - Lớp 7A6</t>
  </si>
  <si>
    <t>Thạch Lý Phương</t>
  </si>
  <si>
    <t>14/10/2012</t>
  </si>
  <si>
    <t>Huỳnh Hồng</t>
  </si>
  <si>
    <t>Ánh</t>
  </si>
  <si>
    <t>05/06/2013</t>
  </si>
  <si>
    <t>Kim Văn</t>
  </si>
  <si>
    <t>12/05/2011</t>
  </si>
  <si>
    <t>Lý Chí</t>
  </si>
  <si>
    <t>Cường</t>
  </si>
  <si>
    <t>04/07/2012</t>
  </si>
  <si>
    <t>Lý Thành</t>
  </si>
  <si>
    <t>Dư</t>
  </si>
  <si>
    <t>19/02/2013</t>
  </si>
  <si>
    <t>Thạch</t>
  </si>
  <si>
    <t>26/05/2013</t>
  </si>
  <si>
    <t>Đức</t>
  </si>
  <si>
    <t>23/04/2011</t>
  </si>
  <si>
    <t>07/09/2013</t>
  </si>
  <si>
    <t>Tiêu Ngọc</t>
  </si>
  <si>
    <t>09/03/2012</t>
  </si>
  <si>
    <t>Huỳnh Văn</t>
  </si>
  <si>
    <t>24/03/2013</t>
  </si>
  <si>
    <t>Tăng Minh</t>
  </si>
  <si>
    <t>Hoài</t>
  </si>
  <si>
    <t>Huỳnh Thái</t>
  </si>
  <si>
    <t>30/12/2013</t>
  </si>
  <si>
    <t>Hồng Duy</t>
  </si>
  <si>
    <t>29/07/2011</t>
  </si>
  <si>
    <t>Trần Đăng</t>
  </si>
  <si>
    <t>18/02/2013</t>
  </si>
  <si>
    <t>Thạch Thúy</t>
  </si>
  <si>
    <t>Kiều</t>
  </si>
  <si>
    <t>11/12/2012</t>
  </si>
  <si>
    <t>Thạch Nhã</t>
  </si>
  <si>
    <t>Kỳ</t>
  </si>
  <si>
    <t>Kim Minh</t>
  </si>
  <si>
    <t>Lâm</t>
  </si>
  <si>
    <t>24/07/2013</t>
  </si>
  <si>
    <t>Huỳnh Thị Phúy</t>
  </si>
  <si>
    <t>Trịnh Bảo</t>
  </si>
  <si>
    <t>Lý Thị Kim</t>
  </si>
  <si>
    <t>18/01/2013</t>
  </si>
  <si>
    <t>Sơn Thị Khánh</t>
  </si>
  <si>
    <t>22/05/2013</t>
  </si>
  <si>
    <t>Mỹ</t>
  </si>
  <si>
    <t>28/05/2013</t>
  </si>
  <si>
    <t>Thạch Thị Mỹ</t>
  </si>
  <si>
    <t>10/06/2013</t>
  </si>
  <si>
    <t>Lâm Thị Yên</t>
  </si>
  <si>
    <t>27/01/2013</t>
  </si>
  <si>
    <t>Nguyễn Tuấn</t>
  </si>
  <si>
    <t>Trần Tiên</t>
  </si>
  <si>
    <t>31/12/2013</t>
  </si>
  <si>
    <t>Cao Hữu</t>
  </si>
  <si>
    <t>Phước</t>
  </si>
  <si>
    <t>04/12/2013</t>
  </si>
  <si>
    <t>Trương Triệu</t>
  </si>
  <si>
    <t>Tào Lai Phú</t>
  </si>
  <si>
    <t>Quý</t>
  </si>
  <si>
    <t>03/09/2013</t>
  </si>
  <si>
    <t>Thạch Thị Kim</t>
  </si>
  <si>
    <t>12/09/2013</t>
  </si>
  <si>
    <t>Danh Quốc</t>
  </si>
  <si>
    <t>14/03/2013</t>
  </si>
  <si>
    <t>Trần Cát</t>
  </si>
  <si>
    <t>Thiện</t>
  </si>
  <si>
    <t>09/05/2013</t>
  </si>
  <si>
    <t>Thuận</t>
  </si>
  <si>
    <t>31/08/2011</t>
  </si>
  <si>
    <t>Nguyễn Hữu</t>
  </si>
  <si>
    <t>02/01/2013</t>
  </si>
  <si>
    <t>Nguyễn Bảo</t>
  </si>
  <si>
    <t>19/07/2013</t>
  </si>
  <si>
    <t>Trần Huyền</t>
  </si>
  <si>
    <t>Nguyễn Thanh Hữu</t>
  </si>
  <si>
    <t>Trí</t>
  </si>
  <si>
    <t>Kiên Thị Mai</t>
  </si>
  <si>
    <t>Trinh</t>
  </si>
  <si>
    <t>Triệu Thị Ngọc</t>
  </si>
  <si>
    <t>Lê Thị Như</t>
  </si>
  <si>
    <t>Ý</t>
  </si>
  <si>
    <t>11/02/2013</t>
  </si>
  <si>
    <t>Khối 7 - Lớp 7A7</t>
  </si>
  <si>
    <t>14/07/2012</t>
  </si>
  <si>
    <t>31/03/2013</t>
  </si>
  <si>
    <t>Trịnh Thị Như</t>
  </si>
  <si>
    <t>Cát</t>
  </si>
  <si>
    <t>Dũ</t>
  </si>
  <si>
    <t>06/10/2013</t>
  </si>
  <si>
    <t>Võ Thị Ngọc</t>
  </si>
  <si>
    <t>20/12/2013</t>
  </si>
  <si>
    <t>Nguyễn Lâm Nguyệt</t>
  </si>
  <si>
    <t>Hằng</t>
  </si>
  <si>
    <t>15/11/2013</t>
  </si>
  <si>
    <t>Thạch Hiền</t>
  </si>
  <si>
    <t>11/08/2013</t>
  </si>
  <si>
    <t>Trà</t>
  </si>
  <si>
    <t>Hện</t>
  </si>
  <si>
    <t>25/03/2013</t>
  </si>
  <si>
    <t>Sơn Thị</t>
  </si>
  <si>
    <t>27/05/2012</t>
  </si>
  <si>
    <t>Hùng</t>
  </si>
  <si>
    <t>Phan Ngọc</t>
  </si>
  <si>
    <t>16/05/2012</t>
  </si>
  <si>
    <t>14/06/2013</t>
  </si>
  <si>
    <t>Sơn Thị Đi</t>
  </si>
  <si>
    <t>Lel</t>
  </si>
  <si>
    <t>27/08/2013</t>
  </si>
  <si>
    <t>Ong Thùy</t>
  </si>
  <si>
    <t>Phan Thành</t>
  </si>
  <si>
    <t>Lợi</t>
  </si>
  <si>
    <t>26/03/2013</t>
  </si>
  <si>
    <t>Bùi Thị Diễm</t>
  </si>
  <si>
    <t>Huỳnh Ngọc</t>
  </si>
  <si>
    <t>Lý Thanh</t>
  </si>
  <si>
    <t>Nhẫn</t>
  </si>
  <si>
    <t>10/07/2013</t>
  </si>
  <si>
    <t>Sơn Hoàng</t>
  </si>
  <si>
    <t>26/04/2012</t>
  </si>
  <si>
    <t>Tăng Hoàng</t>
  </si>
  <si>
    <t>04/12/2012</t>
  </si>
  <si>
    <t>Nữ</t>
  </si>
  <si>
    <t>Thạch Sà</t>
  </si>
  <si>
    <t>Phia</t>
  </si>
  <si>
    <t>26/07/2013</t>
  </si>
  <si>
    <t>Phong</t>
  </si>
  <si>
    <t>Lê Huỳnh Ngọc</t>
  </si>
  <si>
    <t>Qúi</t>
  </si>
  <si>
    <t>Qúy</t>
  </si>
  <si>
    <t>07/07/2013</t>
  </si>
  <si>
    <t>Thạch Chanh Bô</t>
  </si>
  <si>
    <t>Ra</t>
  </si>
  <si>
    <t>Triệu Minh</t>
  </si>
  <si>
    <t>Tài</t>
  </si>
  <si>
    <t>01/11/2013</t>
  </si>
  <si>
    <t>Sơn Xi</t>
  </si>
  <si>
    <t>Thai</t>
  </si>
  <si>
    <t>Nguyễn Tài Kim</t>
  </si>
  <si>
    <t>28/08/2013</t>
  </si>
  <si>
    <t>Thắng</t>
  </si>
  <si>
    <t>29/12/2013</t>
  </si>
  <si>
    <t>Liêu Phạm Ngọc</t>
  </si>
  <si>
    <t>Thân</t>
  </si>
  <si>
    <t>19/11/2013</t>
  </si>
  <si>
    <t>Tăng Phước</t>
  </si>
  <si>
    <t>08/09/2013</t>
  </si>
  <si>
    <t>Sơn Thị Ngọc</t>
  </si>
  <si>
    <t>Lý Thị Minh</t>
  </si>
  <si>
    <t>30/05/2013</t>
  </si>
  <si>
    <t>21/08/2013</t>
  </si>
  <si>
    <t>07/10/2012</t>
  </si>
  <si>
    <t>Lý Hữu</t>
  </si>
  <si>
    <t>14/08/2013</t>
  </si>
  <si>
    <t>Viên Thị</t>
  </si>
  <si>
    <t>Trúc</t>
  </si>
  <si>
    <t>19/08/2013</t>
  </si>
  <si>
    <t>Lâm Cẩm</t>
  </si>
  <si>
    <t>Lý Quốc</t>
  </si>
  <si>
    <t>Hàng Thị Mỹ</t>
  </si>
  <si>
    <t>Viên</t>
  </si>
  <si>
    <t>22/07/2013</t>
  </si>
  <si>
    <t>Lâm Thị Yến</t>
  </si>
  <si>
    <t>12/03/2013</t>
  </si>
  <si>
    <t>Ong Vương Như</t>
  </si>
  <si>
    <t>11/12/2013</t>
  </si>
  <si>
    <t>Khối 7 - Lớp 7A8</t>
  </si>
  <si>
    <t>Châu Ngọc</t>
  </si>
  <si>
    <t>29/04/2013</t>
  </si>
  <si>
    <t>Trần Ngọc Kim</t>
  </si>
  <si>
    <t>26/08/2013</t>
  </si>
  <si>
    <t>Phan Gia</t>
  </si>
  <si>
    <t>20/04/2012</t>
  </si>
  <si>
    <t>Đỗ Thị Kim</t>
  </si>
  <si>
    <t>Kim Thị Ngọc</t>
  </si>
  <si>
    <t>Diệu</t>
  </si>
  <si>
    <t>Trần Đoàn</t>
  </si>
  <si>
    <t>Dự</t>
  </si>
  <si>
    <t>Dược</t>
  </si>
  <si>
    <t>07/10/2011</t>
  </si>
  <si>
    <t>Lý Thuận</t>
  </si>
  <si>
    <t>Đông</t>
  </si>
  <si>
    <t>Triệu</t>
  </si>
  <si>
    <t>Đường</t>
  </si>
  <si>
    <t>08/06/2012</t>
  </si>
  <si>
    <t>Trương Vũ Thiên</t>
  </si>
  <si>
    <t>Hương</t>
  </si>
  <si>
    <t>Khiêm</t>
  </si>
  <si>
    <t>08/05/2013</t>
  </si>
  <si>
    <t>Hồ Trung</t>
  </si>
  <si>
    <t>Thạch Thị Chành</t>
  </si>
  <si>
    <t>La</t>
  </si>
  <si>
    <t>Huỳnh Hồ Lịch</t>
  </si>
  <si>
    <t>Lãm</t>
  </si>
  <si>
    <t>02/10/2013</t>
  </si>
  <si>
    <t>Ngô Thị Hồng</t>
  </si>
  <si>
    <t>Loan</t>
  </si>
  <si>
    <t>21/10/2013</t>
  </si>
  <si>
    <t>Trương Ngọc</t>
  </si>
  <si>
    <t>Trà Vi A Sa</t>
  </si>
  <si>
    <t>Na</t>
  </si>
  <si>
    <t>Châu Tăng</t>
  </si>
  <si>
    <t>Nêl</t>
  </si>
  <si>
    <t>Trần Bích</t>
  </si>
  <si>
    <t>Lê Thị Yến</t>
  </si>
  <si>
    <t>Huỳnh Hạo</t>
  </si>
  <si>
    <t>Nhiên</t>
  </si>
  <si>
    <t>05/11/2012</t>
  </si>
  <si>
    <t>Khưu Kim</t>
  </si>
  <si>
    <t>25/02/2013</t>
  </si>
  <si>
    <t>Sơn Thị Hồng</t>
  </si>
  <si>
    <t>Thạch Thị Bé</t>
  </si>
  <si>
    <t>Sơn Minh</t>
  </si>
  <si>
    <t>Nhựt</t>
  </si>
  <si>
    <t>02/11/2013</t>
  </si>
  <si>
    <t>Lâm Vỉnh</t>
  </si>
  <si>
    <t>Phạm Tiến</t>
  </si>
  <si>
    <t>Huỳnh Lâm Hiền</t>
  </si>
  <si>
    <t>05/03/2013</t>
  </si>
  <si>
    <t>09/07/2012</t>
  </si>
  <si>
    <t>Phan Trúc</t>
  </si>
  <si>
    <t>Thảo</t>
  </si>
  <si>
    <t>Thiên</t>
  </si>
  <si>
    <t>23/09/2012</t>
  </si>
  <si>
    <t>Thạch Hoàng</t>
  </si>
  <si>
    <t>Thới</t>
  </si>
  <si>
    <t>Cao Trần Anh</t>
  </si>
  <si>
    <t>Lâm Hoàng Thuỷ</t>
  </si>
  <si>
    <t>18/10/2013</t>
  </si>
  <si>
    <t>Phạm Trần Ngọc</t>
  </si>
  <si>
    <t>Vi</t>
  </si>
  <si>
    <t>Văn Công</t>
  </si>
  <si>
    <t>Trần Như</t>
  </si>
  <si>
    <t>Khối 8 - Lớp 8A1</t>
  </si>
  <si>
    <t>Mai Thị Hoài</t>
  </si>
  <si>
    <t>26/03/2012</t>
  </si>
  <si>
    <t>Phan Thị Kim</t>
  </si>
  <si>
    <t>24/05/2012</t>
  </si>
  <si>
    <t>Kim Thị Thảo</t>
  </si>
  <si>
    <t>Điền</t>
  </si>
  <si>
    <t>01/10/2012</t>
  </si>
  <si>
    <t>Thái Quỳnh</t>
  </si>
  <si>
    <t>Giao</t>
  </si>
  <si>
    <t>13/06/2012</t>
  </si>
  <si>
    <t>Lâm Trịnh Thế</t>
  </si>
  <si>
    <t>28/07/2012</t>
  </si>
  <si>
    <t>Nguyễn Xuân</t>
  </si>
  <si>
    <t>28/03/2012</t>
  </si>
  <si>
    <t>Châu Đức</t>
  </si>
  <si>
    <t>09/02/2012</t>
  </si>
  <si>
    <t>Trương Quốc</t>
  </si>
  <si>
    <t>28/09/2012</t>
  </si>
  <si>
    <t>Võ Hoàng Bảo</t>
  </si>
  <si>
    <t>Hy</t>
  </si>
  <si>
    <t>12/03/2012</t>
  </si>
  <si>
    <t>Lâm Trí</t>
  </si>
  <si>
    <t>Khải</t>
  </si>
  <si>
    <t>30/09/2012</t>
  </si>
  <si>
    <t>24/08/2012</t>
  </si>
  <si>
    <t>Trương Minh</t>
  </si>
  <si>
    <t>21/10/2012</t>
  </si>
  <si>
    <t>Nguyễn Giáng</t>
  </si>
  <si>
    <t>Khuyên</t>
  </si>
  <si>
    <t>Trương Gia</t>
  </si>
  <si>
    <t>13/10/2012</t>
  </si>
  <si>
    <t>Lai Tuấn</t>
  </si>
  <si>
    <t>26/01/2012</t>
  </si>
  <si>
    <t>Lâm Yến</t>
  </si>
  <si>
    <t>28/05/2012</t>
  </si>
  <si>
    <t>Ngô Nguyễn Hải</t>
  </si>
  <si>
    <t>05/03/2012</t>
  </si>
  <si>
    <t>Phạm Bảo Ngọc</t>
  </si>
  <si>
    <t>Mẫn</t>
  </si>
  <si>
    <t>15/04/2012</t>
  </si>
  <si>
    <t>06/04/2012</t>
  </si>
  <si>
    <t>03/02/2012</t>
  </si>
  <si>
    <t>Khổng Quách Minh</t>
  </si>
  <si>
    <t>Hoàng Bích</t>
  </si>
  <si>
    <t>20/02/2012</t>
  </si>
  <si>
    <t>Nguyễn Thị Ánh</t>
  </si>
  <si>
    <t>22/01/2012</t>
  </si>
  <si>
    <t>Lai Trọng</t>
  </si>
  <si>
    <t>13/03/2012</t>
  </si>
  <si>
    <t>Vũ Quang</t>
  </si>
  <si>
    <t>05/10/2012</t>
  </si>
  <si>
    <t>Lê Ngọc Yến</t>
  </si>
  <si>
    <t>29/02/2012</t>
  </si>
  <si>
    <t>Nguyễn Anh</t>
  </si>
  <si>
    <t>11/09/2012</t>
  </si>
  <si>
    <t>Đặng Gia</t>
  </si>
  <si>
    <t>Phú</t>
  </si>
  <si>
    <t>10/11/2012</t>
  </si>
  <si>
    <t>Lý Nguyễn Hoàng</t>
  </si>
  <si>
    <t>15/10/2012</t>
  </si>
  <si>
    <t>Dương Lệ</t>
  </si>
  <si>
    <t>25/12/2012</t>
  </si>
  <si>
    <t>Trương Chánh</t>
  </si>
  <si>
    <t>08/11/2012</t>
  </si>
  <si>
    <t>Lê Thị Phương</t>
  </si>
  <si>
    <t>Tăng Thuận</t>
  </si>
  <si>
    <t>08/08/2012</t>
  </si>
  <si>
    <t>22/04/2012</t>
  </si>
  <si>
    <t>25/02/2012</t>
  </si>
  <si>
    <t>Nguyễn Thị Thanh</t>
  </si>
  <si>
    <t>Ong Bảo</t>
  </si>
  <si>
    <t>Liên Nhật</t>
  </si>
  <si>
    <t>02/11/2012</t>
  </si>
  <si>
    <t>Lưu Ngọc Bảo</t>
  </si>
  <si>
    <t>26/08/2012</t>
  </si>
  <si>
    <t>Nguyễn Hồ Phương</t>
  </si>
  <si>
    <t>Uyên</t>
  </si>
  <si>
    <t>31/12/2012</t>
  </si>
  <si>
    <t>21/03/2012</t>
  </si>
  <si>
    <t>Nguyễn Thị Nhã</t>
  </si>
  <si>
    <t>19/07/2012</t>
  </si>
  <si>
    <t>Trịnh Thảo</t>
  </si>
  <si>
    <t>22/10/2012</t>
  </si>
  <si>
    <t>06/05/2012</t>
  </si>
  <si>
    <t>Khối 8 - Lớp 8A2</t>
  </si>
  <si>
    <t>Lê Đặng Vân</t>
  </si>
  <si>
    <t>12/04/2012</t>
  </si>
  <si>
    <t>08/03/2012</t>
  </si>
  <si>
    <t>Quách Nguyễn Hoàng</t>
  </si>
  <si>
    <t>Bách</t>
  </si>
  <si>
    <t>03/03/2012</t>
  </si>
  <si>
    <t>Dương Nguyễn Khánh</t>
  </si>
  <si>
    <t>07/05/2012</t>
  </si>
  <si>
    <t>Huỳnh Bảo</t>
  </si>
  <si>
    <t>Lê Minh</t>
  </si>
  <si>
    <t>01/08/2011</t>
  </si>
  <si>
    <t>Nhan Bảo</t>
  </si>
  <si>
    <t>18/12/2012</t>
  </si>
  <si>
    <t>Lai Huy</t>
  </si>
  <si>
    <t>07/12/2012</t>
  </si>
  <si>
    <t>Lâm Hoàng</t>
  </si>
  <si>
    <t>Diễn</t>
  </si>
  <si>
    <t>04/06/2012</t>
  </si>
  <si>
    <t>Huỳnh Khánh</t>
  </si>
  <si>
    <t>09/05/2012</t>
  </si>
  <si>
    <t>Hoàng Thùy</t>
  </si>
  <si>
    <t>10/03/2012</t>
  </si>
  <si>
    <t>30/07/2012</t>
  </si>
  <si>
    <t>05/07/2012</t>
  </si>
  <si>
    <t>Quách Việt</t>
  </si>
  <si>
    <t>Nguyễn Lâm Y</t>
  </si>
  <si>
    <t>26/02/2012</t>
  </si>
  <si>
    <t>Phạm Anh</t>
  </si>
  <si>
    <t>12/11/2012</t>
  </si>
  <si>
    <t>Đặng Phúc Thiên</t>
  </si>
  <si>
    <t>Kim</t>
  </si>
  <si>
    <t>26/10/2012</t>
  </si>
  <si>
    <t>Lai Thanh</t>
  </si>
  <si>
    <t>Liêm</t>
  </si>
  <si>
    <t>04/05/2012</t>
  </si>
  <si>
    <t>Lâm Quý</t>
  </si>
  <si>
    <t>29/08/2012</t>
  </si>
  <si>
    <t>Tạ Ngọc Hoàng</t>
  </si>
  <si>
    <t>15/02/2012</t>
  </si>
  <si>
    <t>Trần Nguyễn Uy</t>
  </si>
  <si>
    <t>24/09/2012</t>
  </si>
  <si>
    <t>Phạm Quang</t>
  </si>
  <si>
    <t>01/11/2012</t>
  </si>
  <si>
    <t>Lâm Thảo</t>
  </si>
  <si>
    <t>Trịnh Khánh</t>
  </si>
  <si>
    <t>Quách Gia</t>
  </si>
  <si>
    <t>Nghi</t>
  </si>
  <si>
    <t>06/06/2012</t>
  </si>
  <si>
    <t>Lê Hoàng Kim</t>
  </si>
  <si>
    <t>27/09/2012</t>
  </si>
  <si>
    <t>Sơn Bảo</t>
  </si>
  <si>
    <t>Trần Bác</t>
  </si>
  <si>
    <t>01/07/2012</t>
  </si>
  <si>
    <t>Trương Thảo</t>
  </si>
  <si>
    <t>07/08/2012</t>
  </si>
  <si>
    <t>30/09/2011</t>
  </si>
  <si>
    <t>Trần Hồ Tiến</t>
  </si>
  <si>
    <t>Trần Nguyễn Thanh</t>
  </si>
  <si>
    <t>19/08/2012</t>
  </si>
  <si>
    <t>Lâm Phôl Na</t>
  </si>
  <si>
    <t>Rích</t>
  </si>
  <si>
    <t>19/04/2012</t>
  </si>
  <si>
    <t>Lưu Tấn</t>
  </si>
  <si>
    <t>07/11/2012</t>
  </si>
  <si>
    <t>Trần Nguyên</t>
  </si>
  <si>
    <t>Trịnh Nguyên</t>
  </si>
  <si>
    <t>Hà Lê Nhất</t>
  </si>
  <si>
    <t>25/04/2012</t>
  </si>
  <si>
    <t>Nguyễn Đặng Hoàng</t>
  </si>
  <si>
    <t>Vưu Lê Trường</t>
  </si>
  <si>
    <t>Thọ</t>
  </si>
  <si>
    <t>23/04/2012</t>
  </si>
  <si>
    <t>Thạch Ngọc Anh</t>
  </si>
  <si>
    <t>02/07/2012</t>
  </si>
  <si>
    <t>Châu Bảo</t>
  </si>
  <si>
    <t>02/09/2012</t>
  </si>
  <si>
    <t>Trọng</t>
  </si>
  <si>
    <t>08/05/2012</t>
  </si>
  <si>
    <t>Lê Quốc</t>
  </si>
  <si>
    <t>24/01/2012</t>
  </si>
  <si>
    <t>Khưu Băng</t>
  </si>
  <si>
    <t>Tuyền</t>
  </si>
  <si>
    <t>Đổng Nhật Tường</t>
  </si>
  <si>
    <t>La Huỳnh Thảo</t>
  </si>
  <si>
    <t>24/07/2012</t>
  </si>
  <si>
    <t>Khối 8 - Lớp 8A3</t>
  </si>
  <si>
    <t>Dương Ngọc</t>
  </si>
  <si>
    <t>31/03/2012</t>
  </si>
  <si>
    <t>Lâm Trâm</t>
  </si>
  <si>
    <t>16/02/2012</t>
  </si>
  <si>
    <t>Nguyễn Hoài</t>
  </si>
  <si>
    <t>10/12/2011</t>
  </si>
  <si>
    <t>Lâm Lý Như</t>
  </si>
  <si>
    <t>Trịnh Lê Bảo</t>
  </si>
  <si>
    <t>Châm</t>
  </si>
  <si>
    <t>21/11/2012</t>
  </si>
  <si>
    <t>Đặng Bội</t>
  </si>
  <si>
    <t>Võ Lý Hoàng</t>
  </si>
  <si>
    <t>01/04/2012</t>
  </si>
  <si>
    <t>Mai Bảo</t>
  </si>
  <si>
    <t>Đệ</t>
  </si>
  <si>
    <t>06/02/2012</t>
  </si>
  <si>
    <t>Nguyễn Hoàng Tấn</t>
  </si>
  <si>
    <t>15/03/2012</t>
  </si>
  <si>
    <t>11/10/2012</t>
  </si>
  <si>
    <t>Huỳnh Duy Khả</t>
  </si>
  <si>
    <t>22/09/2012</t>
  </si>
  <si>
    <t>Tạ Ngọc</t>
  </si>
  <si>
    <t>03/08/2012</t>
  </si>
  <si>
    <t>23/05/2012</t>
  </si>
  <si>
    <t>Sơn Lâm Ngọc</t>
  </si>
  <si>
    <t>Hoa</t>
  </si>
  <si>
    <t>05/04/2012</t>
  </si>
  <si>
    <t>27/03/2012</t>
  </si>
  <si>
    <t>Sơn Thị Bé</t>
  </si>
  <si>
    <t>Hon</t>
  </si>
  <si>
    <t>14/05/2012</t>
  </si>
  <si>
    <t>Lý Thị Thanh</t>
  </si>
  <si>
    <t>23/03/2012</t>
  </si>
  <si>
    <t>10/12/2012</t>
  </si>
  <si>
    <t>Vưu Thành</t>
  </si>
  <si>
    <t>12/02/2012</t>
  </si>
  <si>
    <t>Chiêm Tiền</t>
  </si>
  <si>
    <t>29/10/2012</t>
  </si>
  <si>
    <t>Thi Đại</t>
  </si>
  <si>
    <t>Đỗ Nhật</t>
  </si>
  <si>
    <t>Nguyễn Thị Mỹ</t>
  </si>
  <si>
    <t>03/10/2012</t>
  </si>
  <si>
    <t>Triệu Yến</t>
  </si>
  <si>
    <t>Lâm Diệu</t>
  </si>
  <si>
    <t>17/09/2012</t>
  </si>
  <si>
    <t>Nguyễn Đình</t>
  </si>
  <si>
    <t>12/07/2012</t>
  </si>
  <si>
    <t>02/08/2012</t>
  </si>
  <si>
    <t>Triệu Thị Trúc</t>
  </si>
  <si>
    <t>12/05/2012</t>
  </si>
  <si>
    <t>Đinh Thành Trọng</t>
  </si>
  <si>
    <t>28/04/2012</t>
  </si>
  <si>
    <t>03/12/2012</t>
  </si>
  <si>
    <t>Lâm Vĩnh</t>
  </si>
  <si>
    <t>20/03/2012</t>
  </si>
  <si>
    <t>Nguyễn Phương</t>
  </si>
  <si>
    <t>01/06/2012</t>
  </si>
  <si>
    <t>Văn Ngọc</t>
  </si>
  <si>
    <t>Lê Hồ Phúc</t>
  </si>
  <si>
    <t>15/11/2012</t>
  </si>
  <si>
    <t>Nguyễn Hoàng Minh</t>
  </si>
  <si>
    <t>15/12/2012</t>
  </si>
  <si>
    <t>Lâm Huỳnh Anh</t>
  </si>
  <si>
    <t>Trần Bảo</t>
  </si>
  <si>
    <t>Trần Thủy</t>
  </si>
  <si>
    <t>09/08/2010</t>
  </si>
  <si>
    <t>Phan Tấn</t>
  </si>
  <si>
    <t>05/05/2012</t>
  </si>
  <si>
    <t>08/10/2012</t>
  </si>
  <si>
    <t>18/02/2012</t>
  </si>
  <si>
    <t>23/11/2012</t>
  </si>
  <si>
    <t>Lâm Thục</t>
  </si>
  <si>
    <t>Mai Đoàn Như</t>
  </si>
  <si>
    <t>14/09/2012</t>
  </si>
  <si>
    <t>Khối 8 - Lớp 8A4</t>
  </si>
  <si>
    <t>Lai Mỹ</t>
  </si>
  <si>
    <t>17/10/2012</t>
  </si>
  <si>
    <t>Lâm Thiên</t>
  </si>
  <si>
    <t>Châu Hoài Bảo</t>
  </si>
  <si>
    <t>12/10/2012</t>
  </si>
  <si>
    <t>11/02/2012</t>
  </si>
  <si>
    <t>Võ Tú</t>
  </si>
  <si>
    <t>09/11/2012</t>
  </si>
  <si>
    <t>Ân</t>
  </si>
  <si>
    <t>31/05/2012</t>
  </si>
  <si>
    <t>21/09/2012</t>
  </si>
  <si>
    <t>Kim Huỳnh Khắc</t>
  </si>
  <si>
    <t>03/06/2012</t>
  </si>
  <si>
    <t>Duẩn</t>
  </si>
  <si>
    <t>Lưu Thành</t>
  </si>
  <si>
    <t>02/01/2011</t>
  </si>
  <si>
    <t>Phùng Minh</t>
  </si>
  <si>
    <t>Phạm Minh</t>
  </si>
  <si>
    <t>17/06/2012</t>
  </si>
  <si>
    <t>Đặng Trần Bảo</t>
  </si>
  <si>
    <t>21/08/2012</t>
  </si>
  <si>
    <t>Lư Trương</t>
  </si>
  <si>
    <t>09/09/2012</t>
  </si>
  <si>
    <t>Ngàn</t>
  </si>
  <si>
    <t>10/10/2011</t>
  </si>
  <si>
    <t>Thái Phương</t>
  </si>
  <si>
    <t>21/06/2012</t>
  </si>
  <si>
    <t>Nguyễn Thị Huỳnh</t>
  </si>
  <si>
    <t>29/03/2012</t>
  </si>
  <si>
    <t>07/07/2012</t>
  </si>
  <si>
    <t>Huỳnh Triệu Minh</t>
  </si>
  <si>
    <t>Phụng</t>
  </si>
  <si>
    <t>18/03/2012</t>
  </si>
  <si>
    <t>Ngô Thị Ngọc</t>
  </si>
  <si>
    <t>10/04/2012</t>
  </si>
  <si>
    <t>Sơn Thanh</t>
  </si>
  <si>
    <t>Đoàn Đỗ Hoàng</t>
  </si>
  <si>
    <t>Tăng Thị Na</t>
  </si>
  <si>
    <t>Quy</t>
  </si>
  <si>
    <t>19/06/2012</t>
  </si>
  <si>
    <t>Võ Ngọc</t>
  </si>
  <si>
    <t>09/06/2012</t>
  </si>
  <si>
    <t>Tăng Sô Van Bô</t>
  </si>
  <si>
    <t>Rây</t>
  </si>
  <si>
    <t>Kim Nhựt</t>
  </si>
  <si>
    <t>Nguyễn Ngọc Trang</t>
  </si>
  <si>
    <t>13/07/2012</t>
  </si>
  <si>
    <t>Phạm Quỳnh Anh</t>
  </si>
  <si>
    <t>Ngô Mỹ Trâm</t>
  </si>
  <si>
    <t>25/06/2012</t>
  </si>
  <si>
    <t>Huỳnh Mỹ</t>
  </si>
  <si>
    <t>Tuệ</t>
  </si>
  <si>
    <t>25/09/2012</t>
  </si>
  <si>
    <t>Trương Khả</t>
  </si>
  <si>
    <t>Tuyết</t>
  </si>
  <si>
    <t>Lâm Huệ</t>
  </si>
  <si>
    <t>Đào Kim</t>
  </si>
  <si>
    <t>Khối 8 - Lớp 8A5</t>
  </si>
  <si>
    <t>26/05/2011</t>
  </si>
  <si>
    <t>Nguyễn Ngọc Gia</t>
  </si>
  <si>
    <t>25/10/2012</t>
  </si>
  <si>
    <t>Sơn Trần Trúc</t>
  </si>
  <si>
    <t>23/02/2012</t>
  </si>
  <si>
    <t>14/02/2012</t>
  </si>
  <si>
    <t>Liêu Thị</t>
  </si>
  <si>
    <t>Dang</t>
  </si>
  <si>
    <t>30/12/2012</t>
  </si>
  <si>
    <t>Tăng Kha Hoàng</t>
  </si>
  <si>
    <t>17/07/2012</t>
  </si>
  <si>
    <t>10/05/2011</t>
  </si>
  <si>
    <t>Thạch Duy</t>
  </si>
  <si>
    <t>Em</t>
  </si>
  <si>
    <t>25/07/2010</t>
  </si>
  <si>
    <t>02/05/2012</t>
  </si>
  <si>
    <t>Lưu Minh</t>
  </si>
  <si>
    <t>10/10/2012</t>
  </si>
  <si>
    <t>Triệu Thị</t>
  </si>
  <si>
    <t>Lành</t>
  </si>
  <si>
    <t>16/06/2012</t>
  </si>
  <si>
    <t>Sơn Thị Mai</t>
  </si>
  <si>
    <t>Liên</t>
  </si>
  <si>
    <t>07/09/2012</t>
  </si>
  <si>
    <t>19/07/2011</t>
  </si>
  <si>
    <t>Lai Thị</t>
  </si>
  <si>
    <t>30/10/2012</t>
  </si>
  <si>
    <t>29/01/2012</t>
  </si>
  <si>
    <t>Dương Thị Mỹ</t>
  </si>
  <si>
    <t>Lê Kim</t>
  </si>
  <si>
    <t>11/05/2012</t>
  </si>
  <si>
    <t>Nguyễn Thị</t>
  </si>
  <si>
    <t>Hồng Lê</t>
  </si>
  <si>
    <t>Thạch Thanh</t>
  </si>
  <si>
    <t>Nịl</t>
  </si>
  <si>
    <t>12/06/2011</t>
  </si>
  <si>
    <t>Phạm Gia</t>
  </si>
  <si>
    <t>Lưu Tuấn</t>
  </si>
  <si>
    <t>24/03/2012</t>
  </si>
  <si>
    <t>20/01/2012</t>
  </si>
  <si>
    <t>01/01/2012</t>
  </si>
  <si>
    <t>03/11/2012</t>
  </si>
  <si>
    <t>Thạch Thị Nhã</t>
  </si>
  <si>
    <t>27/08/2012</t>
  </si>
  <si>
    <t>Đặng Thọ</t>
  </si>
  <si>
    <t>Sang</t>
  </si>
  <si>
    <t>Trần Thị Mỹ</t>
  </si>
  <si>
    <t>Trịnh Diễm</t>
  </si>
  <si>
    <t>Trang</t>
  </si>
  <si>
    <t>Lý Ngọc</t>
  </si>
  <si>
    <t>23/10/2012</t>
  </si>
  <si>
    <t>Quách Lý Minh</t>
  </si>
  <si>
    <t>15/07/2012</t>
  </si>
  <si>
    <t>Trịnh Tú</t>
  </si>
  <si>
    <t>23/01/2012</t>
  </si>
  <si>
    <t>Huỳnh</t>
  </si>
  <si>
    <t>25/01/2012</t>
  </si>
  <si>
    <t>Trần Sùng</t>
  </si>
  <si>
    <t>Việt</t>
  </si>
  <si>
    <t>Nguyễn Thị Như</t>
  </si>
  <si>
    <t>14/01/2012</t>
  </si>
  <si>
    <t>19/02/2012</t>
  </si>
  <si>
    <t>Khối 8 - Lớp 8A6</t>
  </si>
  <si>
    <t>Nguy Mỹ</t>
  </si>
  <si>
    <t>Bé</t>
  </si>
  <si>
    <t>10/08/2012</t>
  </si>
  <si>
    <t>Công</t>
  </si>
  <si>
    <t>Lâm Vũ Trường</t>
  </si>
  <si>
    <t>Giang</t>
  </si>
  <si>
    <t>08/07/2012</t>
  </si>
  <si>
    <t>Lý Thúy</t>
  </si>
  <si>
    <t>Hà</t>
  </si>
  <si>
    <t>Trần Hoàng</t>
  </si>
  <si>
    <t>11/11/2012</t>
  </si>
  <si>
    <t>Trần Lâm Nhật</t>
  </si>
  <si>
    <t>19/09/2012</t>
  </si>
  <si>
    <t>Trần Nhật</t>
  </si>
  <si>
    <t>Phạm Chí</t>
  </si>
  <si>
    <t>01/05/2012</t>
  </si>
  <si>
    <t>Phan Tuấn</t>
  </si>
  <si>
    <t>08/10/2011</t>
  </si>
  <si>
    <t>Nguyễn Trí</t>
  </si>
  <si>
    <t>28/08/2012</t>
  </si>
  <si>
    <t>Trần Vũ</t>
  </si>
  <si>
    <t>Khoan</t>
  </si>
  <si>
    <t>26/06/2012</t>
  </si>
  <si>
    <t>Nguyễn Lâm Khánh</t>
  </si>
  <si>
    <t>10/08/2011</t>
  </si>
  <si>
    <t>Nguyễn Nhật</t>
  </si>
  <si>
    <t>Ngô Thị Kiều</t>
  </si>
  <si>
    <t>Châu Hải</t>
  </si>
  <si>
    <t>04/03/2012</t>
  </si>
  <si>
    <t>16/01/2012</t>
  </si>
  <si>
    <t>Ong Mỹ</t>
  </si>
  <si>
    <t>07/02/2012</t>
  </si>
  <si>
    <t>02/01/2012</t>
  </si>
  <si>
    <t>Sơn Yến</t>
  </si>
  <si>
    <t>Lâm Khanh</t>
  </si>
  <si>
    <t>Ni</t>
  </si>
  <si>
    <t>Lý Trà</t>
  </si>
  <si>
    <t>Phan</t>
  </si>
  <si>
    <t>04/08/2012</t>
  </si>
  <si>
    <t>Võ Thanh</t>
  </si>
  <si>
    <t>06/03/2012</t>
  </si>
  <si>
    <t>Huỳnh Thanh</t>
  </si>
  <si>
    <t>Thạch Thị Thè</t>
  </si>
  <si>
    <t>Ry</t>
  </si>
  <si>
    <t>01/04/2010</t>
  </si>
  <si>
    <t>Sanh</t>
  </si>
  <si>
    <t>17/04/2011</t>
  </si>
  <si>
    <t>Vương Quốc</t>
  </si>
  <si>
    <t>18/10/2012</t>
  </si>
  <si>
    <t>Trần Thanh</t>
  </si>
  <si>
    <t>16/11/2012</t>
  </si>
  <si>
    <t>Lư Hưng</t>
  </si>
  <si>
    <t>10/01/2012</t>
  </si>
  <si>
    <t>Trà Minh</t>
  </si>
  <si>
    <t>08/05/2011</t>
  </si>
  <si>
    <t>Trần Quyền</t>
  </si>
  <si>
    <t>Lư Thái Bảo</t>
  </si>
  <si>
    <t>01/08/2012</t>
  </si>
  <si>
    <t>Dương Bảo</t>
  </si>
  <si>
    <t>12/07/2009</t>
  </si>
  <si>
    <t>Trần Việt</t>
  </si>
  <si>
    <t>21/05/2012</t>
  </si>
  <si>
    <t>Phạm Duy</t>
  </si>
  <si>
    <t>Trường</t>
  </si>
  <si>
    <t>03/09/2012</t>
  </si>
  <si>
    <t>Nguyễn Trần Khánh</t>
  </si>
  <si>
    <t>Quảng Ngọc</t>
  </si>
  <si>
    <t>17/05/2012</t>
  </si>
  <si>
    <t>Khối 8 - Lớp 8A7</t>
  </si>
  <si>
    <t>Lâm Kim</t>
  </si>
  <si>
    <t>Can</t>
  </si>
  <si>
    <t>Lý Thị</t>
  </si>
  <si>
    <t>Đa</t>
  </si>
  <si>
    <t>Trương Nguyễn</t>
  </si>
  <si>
    <t>13/11/2012</t>
  </si>
  <si>
    <t>Kim Quang</t>
  </si>
  <si>
    <t>28/10/2012</t>
  </si>
  <si>
    <t>18/08/2012</t>
  </si>
  <si>
    <t>Kiều Chí</t>
  </si>
  <si>
    <t>Hảo</t>
  </si>
  <si>
    <t>Châu Tân</t>
  </si>
  <si>
    <t>Hạo</t>
  </si>
  <si>
    <t>Kim Thị</t>
  </si>
  <si>
    <t>14/03/2012</t>
  </si>
  <si>
    <t>03/08/2011</t>
  </si>
  <si>
    <t>Lan</t>
  </si>
  <si>
    <t>13/08/2012</t>
  </si>
  <si>
    <t>Kim Thị Mai</t>
  </si>
  <si>
    <t>17/04/2012</t>
  </si>
  <si>
    <t>Diệp Băng</t>
  </si>
  <si>
    <t>04/01/2012</t>
  </si>
  <si>
    <t>Huỳnh Phụng</t>
  </si>
  <si>
    <t>20/05/2011</t>
  </si>
  <si>
    <t>Trần Phương</t>
  </si>
  <si>
    <t>Lực</t>
  </si>
  <si>
    <t>Sơn Si</t>
  </si>
  <si>
    <t>Nal</t>
  </si>
  <si>
    <t>Lữ Bích</t>
  </si>
  <si>
    <t>31/10/2012</t>
  </si>
  <si>
    <t>Khưu Bảo</t>
  </si>
  <si>
    <t>Kim Bích</t>
  </si>
  <si>
    <t>Nhung</t>
  </si>
  <si>
    <t>11/12/2011</t>
  </si>
  <si>
    <t>Võ Khánh</t>
  </si>
  <si>
    <t>Trịnh Ngọc</t>
  </si>
  <si>
    <t>Thạch Thị Na</t>
  </si>
  <si>
    <t>Ril</t>
  </si>
  <si>
    <t>Lưu Chí</t>
  </si>
  <si>
    <t>20/10/2012</t>
  </si>
  <si>
    <t>Trương Qúy</t>
  </si>
  <si>
    <t>17/10/2011</t>
  </si>
  <si>
    <t>Thắm</t>
  </si>
  <si>
    <t>Tăng Chanh</t>
  </si>
  <si>
    <t>Thol</t>
  </si>
  <si>
    <t>29/09/2012</t>
  </si>
  <si>
    <t>22/10/2011</t>
  </si>
  <si>
    <t>Ong Thanh</t>
  </si>
  <si>
    <t>Trần Nguyễn Đăng</t>
  </si>
  <si>
    <t>Vỹ</t>
  </si>
  <si>
    <t>08/09/2012</t>
  </si>
  <si>
    <t>Khối 8 - Lớp 8A8</t>
  </si>
  <si>
    <t>26/09/2010</t>
  </si>
  <si>
    <t>Quách An</t>
  </si>
  <si>
    <t>Thạch Kiến</t>
  </si>
  <si>
    <t>Chương Hoàng</t>
  </si>
  <si>
    <t>03/03/2011</t>
  </si>
  <si>
    <t>10/05/2012</t>
  </si>
  <si>
    <t>Sơn Thị Phương</t>
  </si>
  <si>
    <t>04/12/2011</t>
  </si>
  <si>
    <t>Huỳnh Ngọc Lin</t>
  </si>
  <si>
    <t>Thạch Thị Thanh</t>
  </si>
  <si>
    <t>01/01/2010</t>
  </si>
  <si>
    <t>Huỳnh Thị Gia</t>
  </si>
  <si>
    <t>16/10/2012</t>
  </si>
  <si>
    <t>Nguyễn Lâm Đình</t>
  </si>
  <si>
    <t>Phương Văn</t>
  </si>
  <si>
    <t>12/06/2010</t>
  </si>
  <si>
    <t>Ong Hoàng</t>
  </si>
  <si>
    <t>04/06/2011</t>
  </si>
  <si>
    <t>Lý Thu</t>
  </si>
  <si>
    <t>20/08/2011</t>
  </si>
  <si>
    <t>Thạch Quốc</t>
  </si>
  <si>
    <t>Dương Trần Tấn</t>
  </si>
  <si>
    <t>Võ Trúc</t>
  </si>
  <si>
    <t>Lam</t>
  </si>
  <si>
    <t>08/04/2012</t>
  </si>
  <si>
    <t>Thạch Thị Kiều</t>
  </si>
  <si>
    <t>Phạm Phước</t>
  </si>
  <si>
    <t>18/07/2012</t>
  </si>
  <si>
    <t>Hà Hiếu</t>
  </si>
  <si>
    <t>Tăng Thị Sà</t>
  </si>
  <si>
    <t>21/02/2012</t>
  </si>
  <si>
    <t>Nguyễn Thiện</t>
  </si>
  <si>
    <t>Triệu Thái</t>
  </si>
  <si>
    <t>Tạ Yến</t>
  </si>
  <si>
    <t>28/06/2012</t>
  </si>
  <si>
    <t>Kim Nhật</t>
  </si>
  <si>
    <t>Huỳnh Dương Thanh</t>
  </si>
  <si>
    <t>Kim Thị Thu</t>
  </si>
  <si>
    <t>Thạch Thùy Thanh</t>
  </si>
  <si>
    <t>16/10/2011</t>
  </si>
  <si>
    <t>Thạch Trần Anh</t>
  </si>
  <si>
    <t>Nguyễn Thái</t>
  </si>
  <si>
    <t>29/04/2012</t>
  </si>
  <si>
    <t>Thạch Anh</t>
  </si>
  <si>
    <t>Thạch Thị Ngọc</t>
  </si>
  <si>
    <t>Khối 8 - Lớp 8A9</t>
  </si>
  <si>
    <t>Nguyễn Thị Diệu</t>
  </si>
  <si>
    <t>04/10/2011</t>
  </si>
  <si>
    <t>Đỗ Bùi Quế</t>
  </si>
  <si>
    <t>Sơn Quốc</t>
  </si>
  <si>
    <t>Chủ</t>
  </si>
  <si>
    <t>02/12/2012</t>
  </si>
  <si>
    <t>Dóch</t>
  </si>
  <si>
    <t>Trần Tiến</t>
  </si>
  <si>
    <t>24/10/2012</t>
  </si>
  <si>
    <t>Gia</t>
  </si>
  <si>
    <t>Lâm Nhã</t>
  </si>
  <si>
    <t>07/06/2012</t>
  </si>
  <si>
    <t>Lý Thái</t>
  </si>
  <si>
    <t>27/06/2011</t>
  </si>
  <si>
    <t>Thái Gia</t>
  </si>
  <si>
    <t>Hỷ</t>
  </si>
  <si>
    <t>Trịnh Chí</t>
  </si>
  <si>
    <t>Quách Tuấn</t>
  </si>
  <si>
    <t>11/01/2012</t>
  </si>
  <si>
    <t>Kỹ</t>
  </si>
  <si>
    <t>26/09/2011</t>
  </si>
  <si>
    <t>Phạm Ngọc</t>
  </si>
  <si>
    <t>Triệu Thị Đa</t>
  </si>
  <si>
    <t>Lin</t>
  </si>
  <si>
    <t>Quách Nhật</t>
  </si>
  <si>
    <t>14/06/2012</t>
  </si>
  <si>
    <t>25/11/2010</t>
  </si>
  <si>
    <t>Nguyễn Lâm Kiều</t>
  </si>
  <si>
    <t>Huỳnh Hữu</t>
  </si>
  <si>
    <t>27/10/2012</t>
  </si>
  <si>
    <t>Tăng Thị Mỹ</t>
  </si>
  <si>
    <t>Quách Thị Kim</t>
  </si>
  <si>
    <t>09/10/2012</t>
  </si>
  <si>
    <t>Nguyễn Huỳnh Ngọc</t>
  </si>
  <si>
    <t>18/05/2012</t>
  </si>
  <si>
    <t>Thái Phú</t>
  </si>
  <si>
    <t>Lai Tấn</t>
  </si>
  <si>
    <t>Lâm Văn</t>
  </si>
  <si>
    <t>28/05/2011</t>
  </si>
  <si>
    <t>Sơn Thị Chành</t>
  </si>
  <si>
    <t>Thia</t>
  </si>
  <si>
    <t>Yên Thị Minh</t>
  </si>
  <si>
    <t>Thuyền</t>
  </si>
  <si>
    <t>23/08/2012</t>
  </si>
  <si>
    <t>Lâm Thị Anh</t>
  </si>
  <si>
    <t>Dương Lâm Quốc</t>
  </si>
  <si>
    <t>Lý Quang</t>
  </si>
  <si>
    <t>28/10/2010</t>
  </si>
  <si>
    <t>02/06/2011</t>
  </si>
  <si>
    <t>Danh Khánh</t>
  </si>
  <si>
    <t>01/02/2012</t>
  </si>
  <si>
    <t>Khối 9 - Lớp 9A1</t>
  </si>
  <si>
    <t>Dương Ngọc Phước</t>
  </si>
  <si>
    <t>12/01/2011</t>
  </si>
  <si>
    <t>Nguyễn Thiên</t>
  </si>
  <si>
    <t>05/02/2011</t>
  </si>
  <si>
    <t>05/07/2011</t>
  </si>
  <si>
    <t>15/12/2011</t>
  </si>
  <si>
    <t>Dinh</t>
  </si>
  <si>
    <t>10/01/2011</t>
  </si>
  <si>
    <t>Trần Nghi</t>
  </si>
  <si>
    <t>03/11/2011</t>
  </si>
  <si>
    <t>Trịnh Quốc</t>
  </si>
  <si>
    <t>23/10/2011</t>
  </si>
  <si>
    <t>Huỳnh Anh</t>
  </si>
  <si>
    <t>12/12/2011</t>
  </si>
  <si>
    <t>Lê Tuấn</t>
  </si>
  <si>
    <t>26/06/2011</t>
  </si>
  <si>
    <t>La Gia</t>
  </si>
  <si>
    <t>29/10/2011</t>
  </si>
  <si>
    <t>Huỳnh Trần Huệ</t>
  </si>
  <si>
    <t>31/07/2011</t>
  </si>
  <si>
    <t>Nguyễn Lý Kim</t>
  </si>
  <si>
    <t>21/10/2011</t>
  </si>
  <si>
    <t>Trương Tâm</t>
  </si>
  <si>
    <t>13/02/2011</t>
  </si>
  <si>
    <t>Lai Thế</t>
  </si>
  <si>
    <t>Nghiệp</t>
  </si>
  <si>
    <t>08/03/2011</t>
  </si>
  <si>
    <t>04/09/2011</t>
  </si>
  <si>
    <t>Tăng Thanh</t>
  </si>
  <si>
    <t>20/12/2011</t>
  </si>
  <si>
    <t>Trần Thiên</t>
  </si>
  <si>
    <t>01/11/2011</t>
  </si>
  <si>
    <t>Văn Minh</t>
  </si>
  <si>
    <t>01/09/2011</t>
  </si>
  <si>
    <t>Trần Thuận</t>
  </si>
  <si>
    <t>18/12/2011</t>
  </si>
  <si>
    <t>Thiết</t>
  </si>
  <si>
    <t>07/06/2011</t>
  </si>
  <si>
    <t>Trần Phước</t>
  </si>
  <si>
    <t>25/08/2011</t>
  </si>
  <si>
    <t>Qua Quốc</t>
  </si>
  <si>
    <t>08/04/2011</t>
  </si>
  <si>
    <t>Nguyễn Ngọc Phương</t>
  </si>
  <si>
    <t>Thùy</t>
  </si>
  <si>
    <t>07/07/2011</t>
  </si>
  <si>
    <t>Châu Quang</t>
  </si>
  <si>
    <t>Nguyễn Lê Bảo</t>
  </si>
  <si>
    <t>05/10/2011</t>
  </si>
  <si>
    <t>Đào Trương Thanh</t>
  </si>
  <si>
    <t>21/02/2011</t>
  </si>
  <si>
    <t>Diệp Ngọc</t>
  </si>
  <si>
    <t>27/01/2011</t>
  </si>
  <si>
    <t>Trương Chính</t>
  </si>
  <si>
    <t>Vương</t>
  </si>
  <si>
    <t>06/01/2011</t>
  </si>
  <si>
    <t>Đặng Tường</t>
  </si>
  <si>
    <t>13/03/2011</t>
  </si>
  <si>
    <t>Giang Hoài</t>
  </si>
  <si>
    <t>02/05/2011</t>
  </si>
  <si>
    <t>Lý Thị Thảo</t>
  </si>
  <si>
    <t>Ngô Thái Minh</t>
  </si>
  <si>
    <t>Trần Hồng Thúy</t>
  </si>
  <si>
    <t>15/08/2011</t>
  </si>
  <si>
    <t>Nguyễn Hiền</t>
  </si>
  <si>
    <t>Xuân</t>
  </si>
  <si>
    <t>Khối 9 - Lớp 9A3</t>
  </si>
  <si>
    <t>02/10/2011</t>
  </si>
  <si>
    <t>Huỳnh Lê Nguyệt</t>
  </si>
  <si>
    <t>31/01/2011</t>
  </si>
  <si>
    <t>17/12/2011</t>
  </si>
  <si>
    <t>Võ Nguyễn Chí</t>
  </si>
  <si>
    <t>24/01/2011</t>
  </si>
  <si>
    <t>Ngô Thị Hà</t>
  </si>
  <si>
    <t>05/12/2011</t>
  </si>
  <si>
    <t>Đinh Thành</t>
  </si>
  <si>
    <t>Cao Phú</t>
  </si>
  <si>
    <t>Giàu</t>
  </si>
  <si>
    <t>14/08/2011</t>
  </si>
  <si>
    <t>Hoàng Dạ Khánh</t>
  </si>
  <si>
    <t>Lý Hoàng</t>
  </si>
  <si>
    <t>Hiệp</t>
  </si>
  <si>
    <t>10/11/2011</t>
  </si>
  <si>
    <t>Lý Thị Bích</t>
  </si>
  <si>
    <t>09/10/2011</t>
  </si>
  <si>
    <t>Trịnh Phú</t>
  </si>
  <si>
    <t>23/07/2011</t>
  </si>
  <si>
    <t>Châu Trọng</t>
  </si>
  <si>
    <t>Luân</t>
  </si>
  <si>
    <t>08/12/2011</t>
  </si>
  <si>
    <t>27/10/2011</t>
  </si>
  <si>
    <t>Lâm Huỳnh Thảo</t>
  </si>
  <si>
    <t>Bùi Thị Như</t>
  </si>
  <si>
    <t>07/07/2010</t>
  </si>
  <si>
    <t>Trần Hiểu</t>
  </si>
  <si>
    <t>Thái Tăng Minh</t>
  </si>
  <si>
    <t>30/05/2011</t>
  </si>
  <si>
    <t>Trương Kiến</t>
  </si>
  <si>
    <t>04/01/2011</t>
  </si>
  <si>
    <t>Lê Duy Hoàng</t>
  </si>
  <si>
    <t>08/11/2011</t>
  </si>
  <si>
    <t>Nguyễn Sơn Nguyệt</t>
  </si>
  <si>
    <t>23/09/2011</t>
  </si>
  <si>
    <t>Tăng Thị Ngọc</t>
  </si>
  <si>
    <t>25/06/2011</t>
  </si>
  <si>
    <t>27/08/2011</t>
  </si>
  <si>
    <t>Châu Triệu Sơn</t>
  </si>
  <si>
    <t>25/12/2011</t>
  </si>
  <si>
    <t>Nguyễn Thùy</t>
  </si>
  <si>
    <t>22/12/2011</t>
  </si>
  <si>
    <t>Võ Ngọc Bảo</t>
  </si>
  <si>
    <t>12/09/2011</t>
  </si>
  <si>
    <t>30/06/2011</t>
  </si>
  <si>
    <t>01/06/2011</t>
  </si>
  <si>
    <t>Hồ Dương Tuyết</t>
  </si>
  <si>
    <t>Lê Khánh</t>
  </si>
  <si>
    <t>Nguyễn Khã</t>
  </si>
  <si>
    <t>Nguyễn Tường</t>
  </si>
  <si>
    <t>Trần Ngọc Hạnh</t>
  </si>
  <si>
    <t>18/11/2011</t>
  </si>
  <si>
    <t>Võ Kiều</t>
  </si>
  <si>
    <t>Thái Như</t>
  </si>
  <si>
    <t>11/09/2011</t>
  </si>
  <si>
    <t>29/12/2011</t>
  </si>
  <si>
    <t>Sơn Lâm Bảo Ngọc Như</t>
  </si>
  <si>
    <t>18/04/2011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</si>
</sst>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indexed="8"/>
      <name val="Calibri"/>
    </font>
    <font>
      <sz val="10"/>
      <color indexed="8"/>
      <name val="Arial"/>
    </font>
    <font>
      <b/>
      <sz val="10"/>
      <color indexed="8"/>
      <name val="Arial"/>
    </font>
    <font>
      <sz val="10"/>
      <color indexed="9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3"/>
      <color indexed="9"/>
      <name val="Verdana"/>
    </font>
    <font>
      <sz val="10"/>
      <color indexed="1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1" fillId="0" borderId="0" xfId="0" applyFont="1" applyFill="1" applyAlignment="1" applyProtection="1">
      <alignment vertical="center" wrapText="1"/>
    </xf>
    <xf numFmtId="0" fontId="1" fillId="0" borderId="0" xfId="0" applyFont="1" applyFill="1" applyAlignment="1" applyProtection="1">
      <alignment horizontal="left" vertical="center" wrapText="1"/>
    </xf>
    <xf numFmtId="0" fontId="1" fillId="0" borderId="0" xfId="0" applyFont="1" applyFill="1" applyAlignment="1" applyProtection="1">
      <alignment horizontal="center" vertical="center" wrapText="1"/>
    </xf>
    <xf numFmtId="164" fontId="1" fillId="0" borderId="0" xfId="0" applyNumberFormat="1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vertical="center" wrapText="1"/>
    </xf>
    <xf numFmtId="0" fontId="3" fillId="0" borderId="0" xfId="0" applyFont="1" applyFill="1" applyAlignment="1" applyProtection="1">
      <alignment horizontal="center" vertical="center" wrapText="1"/>
    </xf>
    <xf numFmtId="164" fontId="1" fillId="0" borderId="0" xfId="0" applyNumberFormat="1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164" fontId="4" fillId="0" borderId="0" xfId="0" applyNumberFormat="1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vertical="center" wrapText="1"/>
    </xf>
    <xf numFmtId="164" fontId="4" fillId="0" borderId="0" xfId="0" applyNumberFormat="1" applyFont="1" applyFill="1" applyAlignment="1" applyProtection="1">
      <alignment vertical="center" wrapText="1"/>
    </xf>
    <xf numFmtId="0" fontId="4" fillId="0" borderId="0" xfId="0" applyFont="1" applyFill="1" applyProtection="1"/>
    <xf numFmtId="0" fontId="4" fillId="0" borderId="2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horizontal="center" vertical="center" wrapText="1"/>
    </xf>
    <xf numFmtId="164" fontId="4" fillId="0" borderId="4" xfId="0" applyNumberFormat="1" applyFont="1" applyFill="1" applyBorder="1" applyAlignment="1" applyProtection="1">
      <alignment horizontal="center" vertical="center" wrapText="1"/>
    </xf>
    <xf numFmtId="164" fontId="4" fillId="0" borderId="5" xfId="0" applyNumberFormat="1" applyFont="1" applyFill="1" applyBorder="1" applyAlignment="1" applyProtection="1">
      <alignment horizontal="center" vertical="center" wrapText="1"/>
    </xf>
    <xf numFmtId="0" fontId="4" fillId="0" borderId="6" xfId="0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 applyProtection="1">
      <alignment horizontal="center" vertical="center" wrapText="1"/>
    </xf>
    <xf numFmtId="0" fontId="4" fillId="0" borderId="8" xfId="0" applyFont="1" applyFill="1" applyBorder="1" applyAlignment="1" applyProtection="1">
      <alignment horizontal="left" vertical="center" wrapText="1"/>
    </xf>
    <xf numFmtId="0" fontId="4" fillId="0" borderId="9" xfId="0" applyFont="1" applyFill="1" applyBorder="1" applyAlignment="1" applyProtection="1">
      <alignment horizontal="left" vertical="center" wrapText="1"/>
    </xf>
    <xf numFmtId="0" fontId="4" fillId="0" borderId="10" xfId="0" applyFont="1" applyFill="1" applyBorder="1" applyAlignment="1" applyProtection="1">
      <alignment horizontal="left" vertical="center" wrapText="1"/>
    </xf>
    <xf numFmtId="0" fontId="4" fillId="0" borderId="11" xfId="0" applyFont="1" applyFill="1" applyBorder="1" applyAlignment="1" applyProtection="1">
      <alignment horizontal="left" vertical="center" wrapText="1"/>
    </xf>
    <xf numFmtId="0" fontId="6" fillId="0" borderId="0" xfId="0" applyFont="1" applyFill="1" applyProtection="1"/>
    <xf numFmtId="0" fontId="1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7" fillId="0" borderId="0" xfId="0" applyFont="1" applyFill="1" applyAlignment="1" applyProtection="1">
      <alignment horizontal="center" vertical="center" wrapText="1"/>
    </xf>
    <xf numFmtId="0" fontId="7" fillId="0" borderId="15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left" vertical="center" wrapText="1"/>
    </xf>
    <xf numFmtId="0" fontId="4" fillId="0" borderId="12" xfId="0" applyFont="1" applyFill="1" applyBorder="1" applyAlignment="1" applyProtection="1">
      <alignment horizontal="center" vertical="center" wrapText="1"/>
    </xf>
    <xf numFmtId="0" fontId="1" fillId="0" borderId="13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 wrapText="1"/>
    </xf>
    <xf numFmtId="0" fontId="7" fillId="0" borderId="0" xfId="0" applyFont="1" applyFill="1" applyAlignment="1" applyProtection="1">
      <alignment horizontal="left" vertical="center" wrapText="1"/>
    </xf>
    <xf numFmtId="0" fontId="7" fillId="0" borderId="0" xfId="0" applyFont="1" applyFill="1" applyAlignment="1" applyProtection="1">
      <alignment horizontal="center" vertical="center" wrapText="1"/>
    </xf>
    <xf numFmtId="0" fontId="7" fillId="0" borderId="12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0" fontId="7" fillId="0" borderId="15" xfId="0" applyFont="1" applyFill="1" applyBorder="1" applyAlignment="1" applyProtection="1">
      <alignment horizontal="left" vertical="center" wrapText="1"/>
    </xf>
    <xf numFmtId="0" fontId="7" fillId="0" borderId="15" xfId="0" applyFont="1" applyFill="1" applyBorder="1" applyAlignment="1" applyProtection="1">
      <alignment horizontal="center" vertical="center" wrapText="1"/>
    </xf>
    <xf numFmtId="0" fontId="7" fillId="0" borderId="1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D3A8-2B26-4850-BF69-C272E65A4AAF}">
  <dimension ref="A1:AK65536"/>
  <sheetViews>
    <sheetView tabSelected="1" showRuler="0" zoomScaleNormal="100" workbookViewId="0">
      <selection activeCell="A51" sqref="A51:J52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2405548501</v>
      </c>
      <c r="C8" s="24" t="s">
        <v>19</v>
      </c>
      <c r="D8" s="22" t="s">
        <v>20</v>
      </c>
      <c r="E8" s="13" t="s">
        <v>21</v>
      </c>
      <c r="F8" s="13">
        <v>8</v>
      </c>
      <c r="G8" s="13">
        <v>8</v>
      </c>
      <c r="H8" s="13"/>
      <c r="I8" s="16"/>
      <c r="J8" s="16">
        <v>8.5</v>
      </c>
      <c r="K8" s="16">
        <v>8</v>
      </c>
      <c r="L8" s="18">
        <f t="shared" ref="L8:L50" si="0">IF((COUNT(F8:I8)+COUNT(J8:J8)*2+COUNT(K8:K8)*3),ROUND((SUM(F8:I8)+SUM(J8:J8)*2+SUM(K8:K8)*3)/(COUNT(F8:I8)+COUNT(J8:J8)*2+COUNT(K8:K8)*3),1),"")</f>
        <v>8.1</v>
      </c>
      <c r="M8" s="16" t="s">
        <v>22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2405548502</v>
      </c>
      <c r="C9" s="24" t="s">
        <v>23</v>
      </c>
      <c r="D9" s="22" t="s">
        <v>24</v>
      </c>
      <c r="E9" s="13" t="s">
        <v>25</v>
      </c>
      <c r="F9" s="13">
        <v>10</v>
      </c>
      <c r="G9" s="13">
        <v>9.5</v>
      </c>
      <c r="H9" s="13"/>
      <c r="I9" s="16"/>
      <c r="J9" s="16">
        <v>9.5</v>
      </c>
      <c r="K9" s="16">
        <v>10</v>
      </c>
      <c r="L9" s="18">
        <f t="shared" si="0"/>
        <v>9.8000000000000007</v>
      </c>
      <c r="M9" s="16" t="s">
        <v>22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2405548503</v>
      </c>
      <c r="C10" s="24" t="s">
        <v>26</v>
      </c>
      <c r="D10" s="22" t="s">
        <v>24</v>
      </c>
      <c r="E10" s="13" t="s">
        <v>27</v>
      </c>
      <c r="F10" s="13">
        <v>8</v>
      </c>
      <c r="G10" s="13">
        <v>8.5</v>
      </c>
      <c r="H10" s="13"/>
      <c r="I10" s="16"/>
      <c r="J10" s="16">
        <v>10</v>
      </c>
      <c r="K10" s="16">
        <v>10</v>
      </c>
      <c r="L10" s="18">
        <f t="shared" si="0"/>
        <v>9.5</v>
      </c>
      <c r="M10" s="16" t="s">
        <v>22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2405548505</v>
      </c>
      <c r="C11" s="24" t="s">
        <v>28</v>
      </c>
      <c r="D11" s="22" t="s">
        <v>24</v>
      </c>
      <c r="E11" s="13" t="s">
        <v>29</v>
      </c>
      <c r="F11" s="13">
        <v>9</v>
      </c>
      <c r="G11" s="13">
        <v>10</v>
      </c>
      <c r="H11" s="13"/>
      <c r="I11" s="16"/>
      <c r="J11" s="16">
        <v>9.5</v>
      </c>
      <c r="K11" s="16">
        <v>9</v>
      </c>
      <c r="L11" s="18">
        <f t="shared" si="0"/>
        <v>9.3000000000000007</v>
      </c>
      <c r="M11" s="16" t="s">
        <v>22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2405548506</v>
      </c>
      <c r="C12" s="25" t="s">
        <v>30</v>
      </c>
      <c r="D12" s="23" t="s">
        <v>31</v>
      </c>
      <c r="E12" s="15" t="s">
        <v>32</v>
      </c>
      <c r="F12" s="15">
        <v>6</v>
      </c>
      <c r="G12" s="15">
        <v>8.5</v>
      </c>
      <c r="H12" s="15"/>
      <c r="I12" s="17"/>
      <c r="J12" s="17">
        <v>9</v>
      </c>
      <c r="K12" s="17">
        <v>5.5</v>
      </c>
      <c r="L12" s="19">
        <f t="shared" si="0"/>
        <v>7</v>
      </c>
      <c r="M12" s="17" t="s">
        <v>33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2405548507</v>
      </c>
      <c r="C13" s="24" t="s">
        <v>34</v>
      </c>
      <c r="D13" s="22" t="s">
        <v>35</v>
      </c>
      <c r="E13" s="13" t="s">
        <v>36</v>
      </c>
      <c r="F13" s="13">
        <v>10</v>
      </c>
      <c r="G13" s="13">
        <v>10</v>
      </c>
      <c r="H13" s="13"/>
      <c r="I13" s="16"/>
      <c r="J13" s="16">
        <v>10</v>
      </c>
      <c r="K13" s="16">
        <v>10</v>
      </c>
      <c r="L13" s="18">
        <f t="shared" si="0"/>
        <v>10</v>
      </c>
      <c r="M13" s="16" t="s">
        <v>22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2405548508</v>
      </c>
      <c r="C14" s="24" t="s">
        <v>37</v>
      </c>
      <c r="D14" s="22" t="s">
        <v>35</v>
      </c>
      <c r="E14" s="13" t="s">
        <v>38</v>
      </c>
      <c r="F14" s="13">
        <v>10</v>
      </c>
      <c r="G14" s="13">
        <v>10</v>
      </c>
      <c r="H14" s="13"/>
      <c r="I14" s="16"/>
      <c r="J14" s="16">
        <v>9.5</v>
      </c>
      <c r="K14" s="16">
        <v>9</v>
      </c>
      <c r="L14" s="18">
        <f t="shared" si="0"/>
        <v>9.4</v>
      </c>
      <c r="M14" s="16" t="s">
        <v>22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2405548509</v>
      </c>
      <c r="C15" s="24" t="s">
        <v>39</v>
      </c>
      <c r="D15" s="22" t="s">
        <v>40</v>
      </c>
      <c r="E15" s="13" t="s">
        <v>41</v>
      </c>
      <c r="F15" s="13">
        <v>7</v>
      </c>
      <c r="G15" s="13">
        <v>5</v>
      </c>
      <c r="H15" s="13"/>
      <c r="I15" s="16"/>
      <c r="J15" s="16">
        <v>9</v>
      </c>
      <c r="K15" s="16">
        <v>4</v>
      </c>
      <c r="L15" s="18">
        <f t="shared" si="0"/>
        <v>6</v>
      </c>
      <c r="M15" s="16" t="s">
        <v>42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2405548511</v>
      </c>
      <c r="C16" s="24" t="s">
        <v>43</v>
      </c>
      <c r="D16" s="22" t="s">
        <v>44</v>
      </c>
      <c r="E16" s="13" t="s">
        <v>45</v>
      </c>
      <c r="F16" s="13">
        <v>9</v>
      </c>
      <c r="G16" s="13">
        <v>10</v>
      </c>
      <c r="H16" s="13"/>
      <c r="I16" s="16"/>
      <c r="J16" s="16">
        <v>8.5</v>
      </c>
      <c r="K16" s="16">
        <v>6.5</v>
      </c>
      <c r="L16" s="18">
        <f t="shared" si="0"/>
        <v>7.9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2405548512</v>
      </c>
      <c r="C17" s="25" t="s">
        <v>46</v>
      </c>
      <c r="D17" s="23" t="s">
        <v>47</v>
      </c>
      <c r="E17" s="15" t="s">
        <v>48</v>
      </c>
      <c r="F17" s="15">
        <v>10</v>
      </c>
      <c r="G17" s="15">
        <v>5</v>
      </c>
      <c r="H17" s="15"/>
      <c r="I17" s="17"/>
      <c r="J17" s="17">
        <v>9</v>
      </c>
      <c r="K17" s="17">
        <v>8</v>
      </c>
      <c r="L17" s="19">
        <f t="shared" si="0"/>
        <v>8.1</v>
      </c>
      <c r="M17" s="17" t="s">
        <v>22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2405548513</v>
      </c>
      <c r="C18" s="24" t="s">
        <v>49</v>
      </c>
      <c r="D18" s="22" t="s">
        <v>50</v>
      </c>
      <c r="E18" s="13" t="s">
        <v>51</v>
      </c>
      <c r="F18" s="13">
        <v>10</v>
      </c>
      <c r="G18" s="13">
        <v>9</v>
      </c>
      <c r="H18" s="13"/>
      <c r="I18" s="16"/>
      <c r="J18" s="16">
        <v>9</v>
      </c>
      <c r="K18" s="16">
        <v>10</v>
      </c>
      <c r="L18" s="18">
        <f t="shared" si="0"/>
        <v>9.6</v>
      </c>
      <c r="M18" s="16" t="s">
        <v>22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2405548514</v>
      </c>
      <c r="C19" s="24" t="s">
        <v>52</v>
      </c>
      <c r="D19" s="22" t="s">
        <v>53</v>
      </c>
      <c r="E19" s="13" t="s">
        <v>54</v>
      </c>
      <c r="F19" s="13">
        <v>7</v>
      </c>
      <c r="G19" s="13">
        <v>5</v>
      </c>
      <c r="H19" s="13"/>
      <c r="I19" s="16"/>
      <c r="J19" s="16">
        <v>7</v>
      </c>
      <c r="K19" s="16">
        <v>5</v>
      </c>
      <c r="L19" s="18">
        <f t="shared" si="0"/>
        <v>5.9</v>
      </c>
      <c r="M19" s="16" t="s">
        <v>42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2405548515</v>
      </c>
      <c r="C20" s="24" t="s">
        <v>55</v>
      </c>
      <c r="D20" s="22" t="s">
        <v>56</v>
      </c>
      <c r="E20" s="13" t="s">
        <v>57</v>
      </c>
      <c r="F20" s="13">
        <v>7</v>
      </c>
      <c r="G20" s="13">
        <v>9</v>
      </c>
      <c r="H20" s="13"/>
      <c r="I20" s="16"/>
      <c r="J20" s="16">
        <v>7</v>
      </c>
      <c r="K20" s="16">
        <v>7.5</v>
      </c>
      <c r="L20" s="18">
        <f t="shared" si="0"/>
        <v>7.5</v>
      </c>
      <c r="M20" s="16" t="s">
        <v>42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2405548519</v>
      </c>
      <c r="C21" s="24" t="s">
        <v>58</v>
      </c>
      <c r="D21" s="22" t="s">
        <v>59</v>
      </c>
      <c r="E21" s="13" t="s">
        <v>60</v>
      </c>
      <c r="F21" s="13">
        <v>10</v>
      </c>
      <c r="G21" s="13">
        <v>9</v>
      </c>
      <c r="H21" s="13"/>
      <c r="I21" s="16"/>
      <c r="J21" s="16">
        <v>9.5</v>
      </c>
      <c r="K21" s="16">
        <v>9.5</v>
      </c>
      <c r="L21" s="18">
        <f t="shared" si="0"/>
        <v>9.5</v>
      </c>
      <c r="M21" s="16" t="s">
        <v>22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2405548516</v>
      </c>
      <c r="C22" s="25" t="s">
        <v>61</v>
      </c>
      <c r="D22" s="23" t="s">
        <v>59</v>
      </c>
      <c r="E22" s="15" t="s">
        <v>62</v>
      </c>
      <c r="F22" s="15">
        <v>10</v>
      </c>
      <c r="G22" s="15">
        <v>10</v>
      </c>
      <c r="H22" s="15"/>
      <c r="I22" s="17"/>
      <c r="J22" s="17">
        <v>10</v>
      </c>
      <c r="K22" s="17">
        <v>9.5</v>
      </c>
      <c r="L22" s="19">
        <f t="shared" si="0"/>
        <v>9.8000000000000007</v>
      </c>
      <c r="M22" s="17" t="s">
        <v>22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2405548521</v>
      </c>
      <c r="C23" s="24" t="s">
        <v>63</v>
      </c>
      <c r="D23" s="22" t="s">
        <v>64</v>
      </c>
      <c r="E23" s="13" t="s">
        <v>65</v>
      </c>
      <c r="F23" s="13">
        <v>7</v>
      </c>
      <c r="G23" s="13">
        <v>9</v>
      </c>
      <c r="H23" s="13"/>
      <c r="I23" s="16"/>
      <c r="J23" s="16">
        <v>8</v>
      </c>
      <c r="K23" s="16">
        <v>6.5</v>
      </c>
      <c r="L23" s="18">
        <f t="shared" si="0"/>
        <v>7.4</v>
      </c>
      <c r="M23" s="16" t="s">
        <v>42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2405548522</v>
      </c>
      <c r="C24" s="24" t="s">
        <v>66</v>
      </c>
      <c r="D24" s="22" t="s">
        <v>64</v>
      </c>
      <c r="E24" s="13" t="s">
        <v>67</v>
      </c>
      <c r="F24" s="13">
        <v>9</v>
      </c>
      <c r="G24" s="13">
        <v>10</v>
      </c>
      <c r="H24" s="13"/>
      <c r="I24" s="16"/>
      <c r="J24" s="16">
        <v>10</v>
      </c>
      <c r="K24" s="16">
        <v>8.5</v>
      </c>
      <c r="L24" s="18">
        <f t="shared" si="0"/>
        <v>9.1999999999999993</v>
      </c>
      <c r="M24" s="16" t="s">
        <v>22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2405548520</v>
      </c>
      <c r="C25" s="24" t="s">
        <v>68</v>
      </c>
      <c r="D25" s="22" t="s">
        <v>69</v>
      </c>
      <c r="E25" s="13" t="s">
        <v>70</v>
      </c>
      <c r="F25" s="13">
        <v>6</v>
      </c>
      <c r="G25" s="13">
        <v>7</v>
      </c>
      <c r="H25" s="13"/>
      <c r="I25" s="16"/>
      <c r="J25" s="16">
        <v>7</v>
      </c>
      <c r="K25" s="16">
        <v>5</v>
      </c>
      <c r="L25" s="18">
        <f t="shared" si="0"/>
        <v>6</v>
      </c>
      <c r="M25" s="16" t="s">
        <v>33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2405548523</v>
      </c>
      <c r="C26" s="24" t="s">
        <v>71</v>
      </c>
      <c r="D26" s="22" t="s">
        <v>72</v>
      </c>
      <c r="E26" s="13" t="s">
        <v>73</v>
      </c>
      <c r="F26" s="13">
        <v>8</v>
      </c>
      <c r="G26" s="13">
        <v>8.5</v>
      </c>
      <c r="H26" s="13"/>
      <c r="I26" s="16"/>
      <c r="J26" s="16">
        <v>7.5</v>
      </c>
      <c r="K26" s="16">
        <v>7</v>
      </c>
      <c r="L26" s="18">
        <f t="shared" si="0"/>
        <v>7.5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2405548524</v>
      </c>
      <c r="C27" s="25" t="s">
        <v>74</v>
      </c>
      <c r="D27" s="23" t="s">
        <v>75</v>
      </c>
      <c r="E27" s="15" t="s">
        <v>76</v>
      </c>
      <c r="F27" s="15">
        <v>8</v>
      </c>
      <c r="G27" s="15">
        <v>10</v>
      </c>
      <c r="H27" s="15"/>
      <c r="I27" s="17"/>
      <c r="J27" s="17">
        <v>9.5</v>
      </c>
      <c r="K27" s="17">
        <v>9.5</v>
      </c>
      <c r="L27" s="19">
        <f t="shared" si="0"/>
        <v>9.4</v>
      </c>
      <c r="M27" s="17" t="s">
        <v>22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2405548526</v>
      </c>
      <c r="C28" s="24" t="s">
        <v>77</v>
      </c>
      <c r="D28" s="22" t="s">
        <v>78</v>
      </c>
      <c r="E28" s="13" t="s">
        <v>79</v>
      </c>
      <c r="F28" s="13">
        <v>9</v>
      </c>
      <c r="G28" s="13">
        <v>10</v>
      </c>
      <c r="H28" s="13"/>
      <c r="I28" s="16"/>
      <c r="J28" s="16">
        <v>10</v>
      </c>
      <c r="K28" s="16">
        <v>9</v>
      </c>
      <c r="L28" s="18">
        <f t="shared" si="0"/>
        <v>9.4</v>
      </c>
      <c r="M28" s="16" t="s">
        <v>22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2405548528</v>
      </c>
      <c r="C29" s="24" t="s">
        <v>80</v>
      </c>
      <c r="D29" s="22" t="s">
        <v>81</v>
      </c>
      <c r="E29" s="13" t="s">
        <v>82</v>
      </c>
      <c r="F29" s="13">
        <v>7</v>
      </c>
      <c r="G29" s="13">
        <v>5</v>
      </c>
      <c r="H29" s="13"/>
      <c r="I29" s="16"/>
      <c r="J29" s="16">
        <v>5.5</v>
      </c>
      <c r="K29" s="16">
        <v>6.5</v>
      </c>
      <c r="L29" s="18">
        <f t="shared" si="0"/>
        <v>6.1</v>
      </c>
      <c r="M29" s="16" t="s">
        <v>42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2405548527</v>
      </c>
      <c r="C30" s="24" t="s">
        <v>83</v>
      </c>
      <c r="D30" s="22" t="s">
        <v>84</v>
      </c>
      <c r="E30" s="13" t="s">
        <v>85</v>
      </c>
      <c r="F30" s="13">
        <v>10</v>
      </c>
      <c r="G30" s="13">
        <v>10</v>
      </c>
      <c r="H30" s="13"/>
      <c r="I30" s="16"/>
      <c r="J30" s="16">
        <v>10</v>
      </c>
      <c r="K30" s="16">
        <v>10</v>
      </c>
      <c r="L30" s="18">
        <f t="shared" si="0"/>
        <v>10</v>
      </c>
      <c r="M30" s="16" t="s">
        <v>22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2405548529</v>
      </c>
      <c r="C31" s="24" t="s">
        <v>86</v>
      </c>
      <c r="D31" s="22" t="s">
        <v>87</v>
      </c>
      <c r="E31" s="13" t="s">
        <v>88</v>
      </c>
      <c r="F31" s="13">
        <v>9</v>
      </c>
      <c r="G31" s="13">
        <v>10</v>
      </c>
      <c r="H31" s="13"/>
      <c r="I31" s="16"/>
      <c r="J31" s="16">
        <v>8.5</v>
      </c>
      <c r="K31" s="16">
        <v>6</v>
      </c>
      <c r="L31" s="18">
        <f t="shared" si="0"/>
        <v>7.7</v>
      </c>
      <c r="M31" s="16" t="s">
        <v>22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2405548531</v>
      </c>
      <c r="C32" s="25" t="s">
        <v>89</v>
      </c>
      <c r="D32" s="23" t="s">
        <v>90</v>
      </c>
      <c r="E32" s="15" t="s">
        <v>91</v>
      </c>
      <c r="F32" s="15">
        <v>10</v>
      </c>
      <c r="G32" s="15">
        <v>10</v>
      </c>
      <c r="H32" s="15"/>
      <c r="I32" s="17"/>
      <c r="J32" s="17">
        <v>10</v>
      </c>
      <c r="K32" s="17">
        <v>9.5</v>
      </c>
      <c r="L32" s="19">
        <f t="shared" si="0"/>
        <v>9.8000000000000007</v>
      </c>
      <c r="M32" s="17" t="s">
        <v>22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2405548530</v>
      </c>
      <c r="C33" s="24" t="s">
        <v>92</v>
      </c>
      <c r="D33" s="22" t="s">
        <v>90</v>
      </c>
      <c r="E33" s="13" t="s">
        <v>93</v>
      </c>
      <c r="F33" s="13">
        <v>10</v>
      </c>
      <c r="G33" s="13">
        <v>10</v>
      </c>
      <c r="H33" s="13"/>
      <c r="I33" s="16"/>
      <c r="J33" s="16">
        <v>10</v>
      </c>
      <c r="K33" s="16">
        <v>9</v>
      </c>
      <c r="L33" s="18">
        <f t="shared" si="0"/>
        <v>9.6</v>
      </c>
      <c r="M33" s="16" t="s">
        <v>22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2405548533</v>
      </c>
      <c r="C34" s="24" t="s">
        <v>94</v>
      </c>
      <c r="D34" s="22" t="s">
        <v>95</v>
      </c>
      <c r="E34" s="13" t="s">
        <v>96</v>
      </c>
      <c r="F34" s="13">
        <v>9</v>
      </c>
      <c r="G34" s="13">
        <v>7</v>
      </c>
      <c r="H34" s="13"/>
      <c r="I34" s="16"/>
      <c r="J34" s="16">
        <v>9</v>
      </c>
      <c r="K34" s="16">
        <v>8</v>
      </c>
      <c r="L34" s="18">
        <f t="shared" si="0"/>
        <v>8.3000000000000007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2405548536</v>
      </c>
      <c r="C35" s="24" t="s">
        <v>97</v>
      </c>
      <c r="D35" s="22" t="s">
        <v>98</v>
      </c>
      <c r="E35" s="13" t="s">
        <v>99</v>
      </c>
      <c r="F35" s="13">
        <v>10</v>
      </c>
      <c r="G35" s="13">
        <v>10</v>
      </c>
      <c r="H35" s="13"/>
      <c r="I35" s="16"/>
      <c r="J35" s="16">
        <v>9.5</v>
      </c>
      <c r="K35" s="16">
        <v>8</v>
      </c>
      <c r="L35" s="18">
        <f t="shared" si="0"/>
        <v>9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2405548534</v>
      </c>
      <c r="C36" s="24" t="s">
        <v>100</v>
      </c>
      <c r="D36" s="22" t="s">
        <v>98</v>
      </c>
      <c r="E36" s="13" t="s">
        <v>101</v>
      </c>
      <c r="F36" s="13">
        <v>9</v>
      </c>
      <c r="G36" s="13">
        <v>5</v>
      </c>
      <c r="H36" s="13"/>
      <c r="I36" s="16"/>
      <c r="J36" s="16">
        <v>7</v>
      </c>
      <c r="K36" s="16">
        <v>6.5</v>
      </c>
      <c r="L36" s="18">
        <f t="shared" si="0"/>
        <v>6.8</v>
      </c>
      <c r="M36" s="16" t="s">
        <v>22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2405548500</v>
      </c>
      <c r="C37" s="25" t="s">
        <v>102</v>
      </c>
      <c r="D37" s="23" t="s">
        <v>103</v>
      </c>
      <c r="E37" s="15" t="s">
        <v>32</v>
      </c>
      <c r="F37" s="15">
        <v>10</v>
      </c>
      <c r="G37" s="15">
        <v>10</v>
      </c>
      <c r="H37" s="15"/>
      <c r="I37" s="17"/>
      <c r="J37" s="17">
        <v>10</v>
      </c>
      <c r="K37" s="17">
        <v>9.5</v>
      </c>
      <c r="L37" s="19">
        <f t="shared" si="0"/>
        <v>9.8000000000000007</v>
      </c>
      <c r="M37" s="17" t="s">
        <v>22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2405548537</v>
      </c>
      <c r="C38" s="24" t="s">
        <v>104</v>
      </c>
      <c r="D38" s="22" t="s">
        <v>105</v>
      </c>
      <c r="E38" s="13" t="s">
        <v>106</v>
      </c>
      <c r="F38" s="13">
        <v>9</v>
      </c>
      <c r="G38" s="13">
        <v>5</v>
      </c>
      <c r="H38" s="13"/>
      <c r="I38" s="16"/>
      <c r="J38" s="16">
        <v>10</v>
      </c>
      <c r="K38" s="16">
        <v>7.5</v>
      </c>
      <c r="L38" s="18">
        <f t="shared" si="0"/>
        <v>8.1</v>
      </c>
      <c r="M38" s="16" t="s">
        <v>22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2405548538</v>
      </c>
      <c r="C39" s="24" t="s">
        <v>107</v>
      </c>
      <c r="D39" s="22" t="s">
        <v>108</v>
      </c>
      <c r="E39" s="13" t="s">
        <v>109</v>
      </c>
      <c r="F39" s="13">
        <v>10</v>
      </c>
      <c r="G39" s="13">
        <v>10</v>
      </c>
      <c r="H39" s="13"/>
      <c r="I39" s="16"/>
      <c r="J39" s="16">
        <v>10</v>
      </c>
      <c r="K39" s="16">
        <v>9.5</v>
      </c>
      <c r="L39" s="18">
        <f t="shared" si="0"/>
        <v>9.8000000000000007</v>
      </c>
      <c r="M39" s="16" t="s">
        <v>22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2405548540</v>
      </c>
      <c r="C40" s="24" t="s">
        <v>110</v>
      </c>
      <c r="D40" s="22" t="s">
        <v>111</v>
      </c>
      <c r="E40" s="13" t="s">
        <v>112</v>
      </c>
      <c r="F40" s="13">
        <v>8</v>
      </c>
      <c r="G40" s="13">
        <v>5</v>
      </c>
      <c r="H40" s="13"/>
      <c r="I40" s="16"/>
      <c r="J40" s="16">
        <v>6.5</v>
      </c>
      <c r="K40" s="16">
        <v>7.5</v>
      </c>
      <c r="L40" s="18">
        <f t="shared" si="0"/>
        <v>6.9</v>
      </c>
      <c r="M40" s="16" t="s">
        <v>22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2405548541</v>
      </c>
      <c r="C41" s="24" t="s">
        <v>113</v>
      </c>
      <c r="D41" s="22" t="s">
        <v>114</v>
      </c>
      <c r="E41" s="13" t="s">
        <v>115</v>
      </c>
      <c r="F41" s="13">
        <v>7</v>
      </c>
      <c r="G41" s="13">
        <v>8.5</v>
      </c>
      <c r="H41" s="13"/>
      <c r="I41" s="16"/>
      <c r="J41" s="16">
        <v>8</v>
      </c>
      <c r="K41" s="16">
        <v>7.5</v>
      </c>
      <c r="L41" s="18">
        <f t="shared" si="0"/>
        <v>7.7</v>
      </c>
      <c r="M41" s="16" t="s">
        <v>42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2405548542</v>
      </c>
      <c r="C42" s="25" t="s">
        <v>116</v>
      </c>
      <c r="D42" s="23" t="s">
        <v>117</v>
      </c>
      <c r="E42" s="15" t="s">
        <v>118</v>
      </c>
      <c r="F42" s="15">
        <v>7</v>
      </c>
      <c r="G42" s="15">
        <v>5</v>
      </c>
      <c r="H42" s="15"/>
      <c r="I42" s="17"/>
      <c r="J42" s="17">
        <v>9.5</v>
      </c>
      <c r="K42" s="17">
        <v>4</v>
      </c>
      <c r="L42" s="19">
        <f t="shared" si="0"/>
        <v>6.1</v>
      </c>
      <c r="M42" s="17" t="s">
        <v>42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2405548543</v>
      </c>
      <c r="C43" s="24" t="s">
        <v>119</v>
      </c>
      <c r="D43" s="22" t="s">
        <v>120</v>
      </c>
      <c r="E43" s="13" t="s">
        <v>29</v>
      </c>
      <c r="F43" s="13">
        <v>10</v>
      </c>
      <c r="G43" s="13">
        <v>10</v>
      </c>
      <c r="H43" s="13"/>
      <c r="I43" s="16"/>
      <c r="J43" s="16">
        <v>10</v>
      </c>
      <c r="K43" s="16">
        <v>10</v>
      </c>
      <c r="L43" s="18">
        <f t="shared" si="0"/>
        <v>10</v>
      </c>
      <c r="M43" s="16" t="s">
        <v>22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2405548547</v>
      </c>
      <c r="C44" s="24" t="s">
        <v>121</v>
      </c>
      <c r="D44" s="22" t="s">
        <v>122</v>
      </c>
      <c r="E44" s="13" t="s">
        <v>123</v>
      </c>
      <c r="F44" s="13">
        <v>9</v>
      </c>
      <c r="G44" s="13">
        <v>10</v>
      </c>
      <c r="H44" s="13"/>
      <c r="I44" s="16"/>
      <c r="J44" s="16">
        <v>9</v>
      </c>
      <c r="K44" s="16">
        <v>9.5</v>
      </c>
      <c r="L44" s="18">
        <f t="shared" si="0"/>
        <v>9.4</v>
      </c>
      <c r="M44" s="16" t="s">
        <v>22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2405548548</v>
      </c>
      <c r="C45" s="24" t="s">
        <v>124</v>
      </c>
      <c r="D45" s="22" t="s">
        <v>125</v>
      </c>
      <c r="E45" s="13" t="s">
        <v>126</v>
      </c>
      <c r="F45" s="13">
        <v>8</v>
      </c>
      <c r="G45" s="13">
        <v>10</v>
      </c>
      <c r="H45" s="13"/>
      <c r="I45" s="16"/>
      <c r="J45" s="16">
        <v>10</v>
      </c>
      <c r="K45" s="16">
        <v>8.5</v>
      </c>
      <c r="L45" s="18">
        <f t="shared" si="0"/>
        <v>9.1</v>
      </c>
      <c r="M45" s="16" t="s">
        <v>22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2405548545</v>
      </c>
      <c r="C46" s="24" t="s">
        <v>127</v>
      </c>
      <c r="D46" s="22" t="s">
        <v>128</v>
      </c>
      <c r="E46" s="13" t="s">
        <v>129</v>
      </c>
      <c r="F46" s="13">
        <v>7</v>
      </c>
      <c r="G46" s="13">
        <v>8.5</v>
      </c>
      <c r="H46" s="13"/>
      <c r="I46" s="16"/>
      <c r="J46" s="16">
        <v>5.5</v>
      </c>
      <c r="K46" s="16">
        <v>5</v>
      </c>
      <c r="L46" s="18">
        <f t="shared" si="0"/>
        <v>5.9</v>
      </c>
      <c r="M46" s="16" t="s">
        <v>42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2405548549</v>
      </c>
      <c r="C47" s="25" t="s">
        <v>130</v>
      </c>
      <c r="D47" s="23" t="s">
        <v>131</v>
      </c>
      <c r="E47" s="15" t="s">
        <v>118</v>
      </c>
      <c r="F47" s="15">
        <v>8</v>
      </c>
      <c r="G47" s="15">
        <v>9</v>
      </c>
      <c r="H47" s="15"/>
      <c r="I47" s="17"/>
      <c r="J47" s="17">
        <v>10</v>
      </c>
      <c r="K47" s="17">
        <v>10</v>
      </c>
      <c r="L47" s="19">
        <f t="shared" si="0"/>
        <v>9.6</v>
      </c>
      <c r="M47" s="17" t="s">
        <v>22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2405548546</v>
      </c>
      <c r="C48" s="24" t="s">
        <v>132</v>
      </c>
      <c r="D48" s="22" t="s">
        <v>133</v>
      </c>
      <c r="E48" s="13" t="s">
        <v>134</v>
      </c>
      <c r="F48" s="13">
        <v>9</v>
      </c>
      <c r="G48" s="13">
        <v>8.5</v>
      </c>
      <c r="H48" s="13"/>
      <c r="I48" s="16"/>
      <c r="J48" s="16">
        <v>8.5</v>
      </c>
      <c r="K48" s="16">
        <v>8.5</v>
      </c>
      <c r="L48" s="18">
        <f t="shared" si="0"/>
        <v>8.6</v>
      </c>
      <c r="M48" s="16" t="s">
        <v>22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0">
        <v>42</v>
      </c>
      <c r="B49" s="13">
        <v>2405548551</v>
      </c>
      <c r="C49" s="24" t="s">
        <v>135</v>
      </c>
      <c r="D49" s="22" t="s">
        <v>136</v>
      </c>
      <c r="E49" s="13" t="s">
        <v>137</v>
      </c>
      <c r="F49" s="13">
        <v>10</v>
      </c>
      <c r="G49" s="13">
        <v>10</v>
      </c>
      <c r="H49" s="13"/>
      <c r="I49" s="16"/>
      <c r="J49" s="16">
        <v>10</v>
      </c>
      <c r="K49" s="16">
        <v>9.5</v>
      </c>
      <c r="L49" s="18">
        <f t="shared" si="0"/>
        <v>9.8000000000000007</v>
      </c>
      <c r="M49" s="16" t="s">
        <v>22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21">
        <v>43</v>
      </c>
      <c r="B50" s="15">
        <v>2405548552</v>
      </c>
      <c r="C50" s="25" t="s">
        <v>138</v>
      </c>
      <c r="D50" s="23" t="s">
        <v>139</v>
      </c>
      <c r="E50" s="15" t="s">
        <v>140</v>
      </c>
      <c r="F50" s="15">
        <v>9</v>
      </c>
      <c r="G50" s="15">
        <v>5</v>
      </c>
      <c r="H50" s="15"/>
      <c r="I50" s="17"/>
      <c r="J50" s="17">
        <v>8.5</v>
      </c>
      <c r="K50" s="17">
        <v>8.5</v>
      </c>
      <c r="L50" s="19">
        <f t="shared" si="0"/>
        <v>8.1</v>
      </c>
      <c r="M50" s="17" t="s">
        <v>22</v>
      </c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39" t="s">
        <v>141</v>
      </c>
      <c r="B51" s="40"/>
      <c r="C51" s="41"/>
      <c r="D51" s="41"/>
      <c r="E51" s="41"/>
      <c r="F51" s="40"/>
      <c r="G51" s="40"/>
      <c r="H51" s="40"/>
      <c r="I51" s="40"/>
      <c r="J51" s="42"/>
      <c r="K51" s="8"/>
      <c r="L51" s="9"/>
      <c r="M51" s="10"/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2.75" customHeight="1" x14ac:dyDescent="0.35">
      <c r="A52" s="43"/>
      <c r="B52" s="33"/>
      <c r="C52" s="44"/>
      <c r="D52" s="45"/>
      <c r="E52" s="45"/>
      <c r="F52" s="46"/>
      <c r="G52" s="46"/>
      <c r="H52" s="46"/>
      <c r="I52" s="46"/>
      <c r="J52" s="47"/>
    </row>
    <row r="53" spans="1:37" ht="12.75" customHeight="1" x14ac:dyDescent="0.35">
      <c r="A53" s="48" t="s">
        <v>142</v>
      </c>
      <c r="B53" s="33"/>
      <c r="C53" s="44"/>
      <c r="D53" s="45" t="s">
        <v>143</v>
      </c>
      <c r="E53" s="45"/>
      <c r="F53" s="46" t="str">
        <f>TEXT(COUNTIF(L8:L50,"&gt;="&amp;Q53),"#0")</f>
        <v>28</v>
      </c>
      <c r="G53" s="46"/>
      <c r="H53" s="31" t="s">
        <v>144</v>
      </c>
      <c r="I53" s="46" t="str">
        <f>ROUND(F53/IF(COUNTIF(L8:L50,"&gt;=0")=0,1,COUNTIF(L8:L50,"&gt;=0")),4)*100&amp;"%"</f>
        <v>65.12%</v>
      </c>
      <c r="J53" s="47"/>
      <c r="Q53" s="26">
        <v>7.95</v>
      </c>
    </row>
    <row r="54" spans="1:37" ht="12.75" customHeight="1" x14ac:dyDescent="0.35">
      <c r="A54" s="43" t="s">
        <v>145</v>
      </c>
      <c r="B54" s="33"/>
      <c r="C54" s="44"/>
      <c r="D54" s="45" t="s">
        <v>146</v>
      </c>
      <c r="E54" s="45"/>
      <c r="F54" s="46" t="str">
        <f>TEXT(COUNTIF(L8:L50,"&gt;="&amp;Q54)-F53,"#0")</f>
        <v>9</v>
      </c>
      <c r="G54" s="46"/>
      <c r="H54" s="31" t="s">
        <v>144</v>
      </c>
      <c r="I54" s="46" t="str">
        <f>ROUND(F54/IF(COUNTIF(L8:L50,"&gt;=0")=0,1,COUNTIF(L8:L50,"&gt;=0")),4)*100&amp;"%"</f>
        <v>20.93%</v>
      </c>
      <c r="J54" s="47"/>
      <c r="Q54" s="26">
        <v>6.45</v>
      </c>
    </row>
    <row r="55" spans="1:37" ht="12.75" customHeight="1" x14ac:dyDescent="0.35">
      <c r="A55" s="27"/>
      <c r="D55" s="45" t="s">
        <v>147</v>
      </c>
      <c r="E55" s="45"/>
      <c r="F55" s="46" t="str">
        <f>TEXT(COUNTIF(L8:L50,"&gt;="&amp;Q55)-F54-F53,"#0")</f>
        <v>6</v>
      </c>
      <c r="G55" s="46"/>
      <c r="H55" s="31" t="s">
        <v>144</v>
      </c>
      <c r="I55" s="46" t="str">
        <f>ROUND(F55/IF(COUNTIF(L8:L50,"&gt;=0")=0,1,COUNTIF(L8:L50,"&gt;=0")),4)*100&amp;"%"</f>
        <v>13.95%</v>
      </c>
      <c r="J55" s="47"/>
      <c r="Q55" s="26">
        <v>4.95</v>
      </c>
    </row>
    <row r="56" spans="1:37" ht="12.75" customHeight="1" x14ac:dyDescent="0.35">
      <c r="A56" s="28"/>
      <c r="B56" s="29"/>
      <c r="C56" s="30"/>
      <c r="D56" s="49" t="s">
        <v>148</v>
      </c>
      <c r="E56" s="49"/>
      <c r="F56" s="50" t="str">
        <f>TEXT(COUNTIF(L8:L50,"&gt;=0")-F52-F53-F54-F55,"#0")</f>
        <v>0</v>
      </c>
      <c r="G56" s="50"/>
      <c r="H56" s="32" t="s">
        <v>144</v>
      </c>
      <c r="I56" s="50" t="str">
        <f>ROUND(F56/IF(COUNTIF(L8:L50,"&gt;=0")=0,1,COUNTIF(L8:L50,"&gt;=0")),4)*100&amp;"%"</f>
        <v>0%</v>
      </c>
      <c r="J56" s="51"/>
    </row>
    <row r="65536" ht="14.5" x14ac:dyDescent="0.35"/>
  </sheetData>
  <mergeCells count="32">
    <mergeCell ref="D55:E55"/>
    <mergeCell ref="F55:G55"/>
    <mergeCell ref="I55:J55"/>
    <mergeCell ref="D56:E56"/>
    <mergeCell ref="F56:G56"/>
    <mergeCell ref="I56:J56"/>
    <mergeCell ref="A51:J52"/>
    <mergeCell ref="A53:C53"/>
    <mergeCell ref="D53:E53"/>
    <mergeCell ref="F53:G53"/>
    <mergeCell ref="I53:J53"/>
    <mergeCell ref="A54:C54"/>
    <mergeCell ref="D54:E54"/>
    <mergeCell ref="F54:G54"/>
    <mergeCell ref="I54:J54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60">
    <dataValidation type="list" allowBlank="1" showInputMessage="1" showErrorMessage="1" errorTitle="Thông báo" error="Bạn phải nhập [Đạt] = d, Đ, đ, 1   [Chưa đạt] = c, CĐ, cđ, 2" sqref="C5" xr:uid="{10D4C090-3F15-4EE1-A464-4D373B0FE5EE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3741C8BD-507E-4C95-A949-325AF48D1536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6E5FDEF9-2FF2-4482-BF78-110A44FCE2A4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C5EEF485-5459-4827-8FE7-89FC3559CF1B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9EF6D855-1EAA-4FC1-AAA6-21CC33E8F335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1EBF44CA-D3A3-459C-82B9-AE6B794A573F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F7F2B006-88A3-4B30-B273-70AEB4EFE2B7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2A12E8C5-D9F2-4217-8020-C09C9EBB547E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06F9384A-D354-40E6-9FD6-EC869F93A40C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87C3B110-F553-4B9A-B13B-C51DC7DABA22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E4A0252C-A688-487B-8700-2E889FFAE680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3D0735AA-58CB-4A74-8F05-8B1080990612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72B62CE7-69BB-4D8A-B440-52DDD9408B51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45823DB7-1E04-46D2-8166-6521BB0CA39F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5EF23058-139D-48B8-90DF-4EFE9A46AE6E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5AAFA5A7-1E33-4388-B731-51DABB4B2579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86BA4C24-554D-4957-BCB4-AF5E20939EF6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F30A069B-7689-46DA-88D3-7E4512148CD3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4A86786B-242C-467C-B772-36C1E26B5A3E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AFA87795-F8B4-41BA-84C0-CE64214857E8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F9F978A2-704A-4773-95CA-B5EB6DBC9E85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14C8FEEA-DFBB-4A1B-8448-55C72086333B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9A5343FD-0A14-41D0-B1A2-6987170FA8AE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B6F2CE69-EC06-403B-9176-55814A17288E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8A813369-B67E-4BBE-B631-D781F07A514C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2D4B1CA5-B5E2-48AF-9516-88AA9F2E5C06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BC30187D-1168-406E-9CB6-144D28B2E483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2D7937EC-E0C1-4897-8E13-F5C1DF2BC863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D295A4BD-77B9-4215-B7B2-F6E721C0436B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4C456EC7-4F41-4977-B0FF-A4B058F02C02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4D821A46-7C79-4807-8EF8-D670E88AF3EF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954ADC7B-F589-472F-B8D9-D0365FE590EE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97AF3BF8-80FB-4E77-AC5C-BB9659426A00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2ACC8B25-BED7-486F-B9CB-80C73AEFE3E8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DC93D925-8EBF-4C54-B895-18F90FA1AC94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AAF6AC8B-0EFF-467C-80FB-DBC09E0CCF0B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8675BDD7-A7F2-437D-9BB8-8071DEF72FD6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9605855B-BE56-4F0C-B99C-EAD6B7D05F64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44075433-655B-41C7-BE7C-31D0EF67E462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D480C7D7-A4C7-4D4E-9671-4DBC2BE54C40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7673C4E2-7FD4-49F6-8AD4-D5EB2FBE4AF1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3D6FD052-1053-4E55-814C-70451D4FEE55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9D9C1B80-FC0D-4FB5-8798-A41972C1069E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67AD0641-112B-4696-82C1-79F738B7B1E0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CA417F6F-699C-4CF6-80E3-D8F02C8E03C9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9A5C336B-C967-4ED7-93C6-B2B55D1E2883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7936818D-6D2C-46FD-B1CA-ABEF1E94F4C5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83830BDE-583B-4FFD-9EEB-31112F0E3645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86C6B729-8B32-4521-8914-15E3AAB7D273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0EC8F2E3-71CD-4819-88C6-36D71DCB0536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62546457-85D5-4FDF-942F-207636B970AF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E6FA6AFE-0A10-4884-BA40-B8717B26D7B4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DBC783C9-BB75-4E63-9BF2-3938B457B03C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1D036F61-EC5B-472E-AC7E-719747930674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B114A2A0-0CBF-4E24-8FFD-E6A3AFCF3E25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CD085318-133D-446F-80DA-211668B1DA13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D840084B-342A-44E7-BDE5-03905D2A581F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82BB5C50-6945-419A-A6EC-181121CB64F1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81BF34A3-4FD8-44F0-8131-2C5566D2597C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AA7DCF6D-E58D-4052-BCA2-D4CCCDC65223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C04F67EE-9130-4021-9512-1DCE16FC5807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1FB4CD7F-A313-4F9D-97BB-5C892072A00B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59C9195B-4BC8-4BC5-AD49-1B75597A208E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275EE9D2-3E99-4E55-8C3F-484D995FF4E1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7A6A30FE-683F-4F9A-BF45-E9CC05297025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8CB9A7BB-2B56-4EB3-948B-0D21FDCD5287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8B930CB8-8111-4917-8C61-A012BC12730A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F8E81DAE-7AAD-4D89-80B2-AFE200CD50C3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A04C2685-3AD2-45BE-A310-24B7124E6156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2A0D5254-A389-4E51-B42B-6F6219E9C896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A5E97782-2A97-4F33-8711-9CE266D358AD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45306203-26A4-42C6-B297-2C8E9C97E68E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8C65E239-75CA-4F17-84BA-B8F5466D3B26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C8DAB25E-F4E2-4DA5-AAC7-452CF42DD010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13C135BF-7285-4E5E-8E2D-1C50267B8979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47C9B301-75C3-41F5-9CD2-FD804758B2E6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302C7D21-9C10-4912-873E-CFF4AECCD4DB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00DE60B9-0A77-4D7E-AA50-23BCA3FBB6F3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F29B6C7F-22BC-4109-9A71-D24EC8F70C70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4EAF9256-530A-4EC5-AF16-6C6EEDE597A2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6FCD72C7-1C2B-4F9B-8707-76CECA89AB05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A0EDA306-50A4-4907-AA5F-D4C430BDF843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0511BFEB-573B-425F-9473-932A41F9CCCC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84A31E00-BE45-4B22-8261-45C05BAD236A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9F44289D-E4E8-4112-BD02-9D695061BFCD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012830A9-C16C-4E57-9486-2E241F3D84AE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B123FBD9-F25F-45AE-B7C2-FD841B6A99EA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D974FF73-0CA4-4677-81CA-373D22134FF7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EB5EE6CF-88F4-48AE-8D2D-7976722CA290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462DE58C-D1A8-4AAF-B618-3D6C5E805B6B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F13FBA0C-1AC3-44E1-95AE-8B710B11A379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6C18A6D0-50F0-4356-8541-6AC5DFA6F219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7F1A77D4-248F-4A7F-A5B6-03BFED902C3F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66D56A6F-982E-4DD1-AC5E-B5291DB94B0E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2DF27F50-2717-4506-9F82-964D54D2D3E2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185F43C8-DCDE-4F33-B4AB-8E66BF9D417B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26939FD7-0C8A-4EEB-9846-43C1C0D6536F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9585289C-7251-4FBC-BEB4-87C1A525126F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26C14069-50C6-4667-A6B5-98FE28D7892A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F92CE61F-C9B5-4DA5-90F5-C9CFDEAC2B36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825B56B4-0C9F-4F99-8806-A6C284D17989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C155BB27-1412-477A-A6A0-6E97DA7EB75E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6355B62D-A09C-45F4-A0DB-2D4C57B94871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D85FF94F-554C-4669-9387-BF07C2A8AD5E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4D1AC6F2-2D5F-4FDA-B0EC-06DCCA5D142E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4DBF271E-372C-456A-89AD-9A9D96BC4BA2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D6D20138-15FB-4C6A-AF2A-34B4B35E28AE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E2786C26-095B-431C-8236-EAD93A3B8185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CAE4C0A1-E17F-4D1A-83BB-8D436BC6BB08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B8BC39CD-CA2C-409C-B43C-764DCC946D96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84C7EE12-2E23-47A3-98B1-E683BDFA1441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85CBB1C3-8D35-469B-B394-A4AB0A40F18B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8034A8BF-2D9F-4084-ABAE-2E9A7024C117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FC737480-9B7F-4EDC-B607-35F349937BFC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0353FD9A-E768-4588-A64F-5EC6329BFB75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0E3E27BB-05FB-4CD7-9860-7B1EE428880D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6F62D1DE-567B-46D0-B14F-642752EFAE9F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2A4EFD3C-A1D7-497A-946C-6D7DD96224B1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B2F4D57E-B997-4AAC-B395-4E38834244DA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BE851D9E-2724-4F78-8C35-9A82F2AE3E40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B6260E48-C3C7-48CA-B6DF-A6AAD00C34DD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1FED11EE-2258-4C43-8228-40A6F928F3D1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213A2691-ED31-4B5D-8F48-1BFF25B531BE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AF5D9466-ADD0-4726-A1E0-1208227177E3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F3FA432B-24AD-4233-B2A3-78585403E7C0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C1A87CD3-0564-4195-A2C4-19CA2469CAA4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AB9C9053-775D-4F56-AA56-7A3DB1B9139B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468B6EC2-6248-4420-A0A6-F3435956EA83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E384D601-FF1C-4281-9EC0-8B7A7081EDD2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54A8D7B1-5E60-49AE-822F-15E1C374A3F0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45CA7300-BA1C-4ED0-914B-D601601397C5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38120356-6372-4699-8E3E-52A6A5D6A7CE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55E68C8B-452A-4153-9D89-75FD46A107B9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42545ED1-39D4-4380-A99A-CBB94F3DEBA2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482630DC-545C-4B61-8245-8EB0824E98FC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FB99A9E8-F171-417E-B375-3D217AF0C17C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DC6B0E7C-DBBD-469A-A1D2-6307DF55585A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BE4C57C5-F2C7-4883-81F7-43749F001D98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A14E2E98-5F8E-4C2F-B264-40D9CCE2A99A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84195859-1E75-42BB-B86C-00039EB1AFD6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23DD626A-9F1D-49D0-866A-C4E6EFE482A2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4F5C6242-0DB7-4E91-B92E-D5630966BBD4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9B54387E-6F4E-416B-9F45-63CCD1A5BAD0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E0A9DBC4-51EA-464E-A248-C2C732BD3AE4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FA83657D-2FE0-4BE4-94B1-D4728A416B91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9116459C-97ED-46F4-82A7-7D7488A79C91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E37CDB70-4859-407E-BAB0-D4F9A2658132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EDA02874-892F-4506-A328-DEE6D5A87A89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572E49AC-ED7F-45AD-850A-DC20D8D33D19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E74D7312-2AE2-43AB-8435-7270E2491B3D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B5D3D406-4418-4A6E-9CEA-B7F858E73A05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99397DF5-C275-48B5-8E6A-E1A1A1A1904C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690FA17C-2A2B-435E-B683-03C8C0861E37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E0715E30-B58B-4DB6-A932-822BE4220207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3DD079E9-57EB-471D-A721-98BC2DB39DD9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3DB8973A-AA57-48BF-8CAA-60460E6727F0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0D91A436-519F-4B15-B59E-97DE97F52526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A52C15AA-869D-4560-886A-0510F3CB2BDB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CE9D4EE2-7BE5-44BF-AB07-115008B3BF96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EA5E8FF1-ACA7-4EC9-80A3-F73647CEED06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C124DC77-4302-4C30-81A6-5CB5F09DCAD2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C13B3607-4F26-40B2-B6BA-E210AC67AF67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B7B01B3E-6CFA-43E5-A3A4-B182884EFB8C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9612E6E1-593B-4FC3-98A8-6031A531D28D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60B53CE5-DE6D-4335-95F7-7D380B127D55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877A7B49-9555-47FC-8757-FD50596BE40D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E05B5A99-9BCC-47EB-AB9F-841E71DCF203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7C6EC5DB-70DE-4AEF-9E73-A52BF330A08B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9D59DD8A-1911-4366-9453-C38D0DB8ED01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AC072200-C70F-4C8C-8185-4D5527C3857D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4D87D5FE-CED9-4BDC-87A4-360CDE1BC9F4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D6CC84E2-FEC9-4517-BA26-A0C39A858E46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83FA63F9-EB73-423E-9836-E4653CB7DFEA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00ACB171-9FB8-4249-A88E-8961542DFD16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EA1922DE-8A54-461A-871D-3F437BC5DEF5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5DDFE707-8404-4738-9E84-8CA04BDDB7D9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0F671D18-6882-4319-BB96-6A39A56E62B0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CD708E4E-C5C7-4FEC-B53B-7456BCB7FCE4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96D0F73B-D70D-4B0D-A31D-C4975FC54EB8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8AE93105-C4F6-4EDD-B40A-D3D2B6711DDF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A58EEA79-5195-4965-8278-EED2B644048C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C84F00FC-FE9B-4A6B-A233-963C56487460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BDDBB246-EF1A-4074-9311-686A71EB6F16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BFAA68C1-82BC-4C1A-BF6A-FB1A6174C81E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D01260F9-F271-4C01-8322-D5CD80F3C4DD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084D14D3-6468-4248-BAD9-04F637787CBB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B9A9441F-D47D-4E24-9699-F015403AB2B1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6390DA8B-7CB2-408C-8FC7-FB40CC34DBD5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428548C4-E5A0-447C-A1E4-900F0BC6B276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1D07A95E-EF5F-42B6-A6E4-129373D2C236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4F888462-67A5-46B7-AE0D-9AA172D6F482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2480548C-98CE-43F8-96AB-B301F2B37B98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A7ECB864-9E99-4EB1-93D9-33BFB656B467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27A373EC-3637-4A16-9BEF-67E97EE8D9B9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3E56FEF1-36B5-4B76-894A-30B2BB2C13F0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95C09468-737C-4BF0-9C24-F90B98ED96EB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6C0E3C8E-C9DE-492A-9516-514FCB8580A3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F9EE363E-FD70-4F83-9598-58E599EF5E63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9BB8C948-6D11-4685-953C-93249B73944F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6868BE41-AF17-47B9-AE48-259C641EEA6B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EE04C3BB-900A-4671-AF20-D2C2D17B84C0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D96AD779-347D-4F31-9C62-E071B6E49EEE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05381148-B07C-40D5-B54D-B6895ED81E86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CFC420C4-F17C-4327-8AD7-CC2E0C3E6BAF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030A999F-5E8D-4516-9148-AEBFFE9E89F7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A4C61D8D-65B5-4F7E-9685-139F19D87A75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D1598027-F6EE-4D02-896A-C5FDAEBDA2AB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C67CE60B-66A7-4167-A5F2-82D424B95A51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CF025668-3DBE-4B5D-BFE0-73959A2D3CD0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16C28162-2CD7-44EC-BA31-CF72E6298357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4D038D13-700B-4E11-93E8-9D80125E2892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C33C4E40-8D92-4C58-86C9-43D98B86B245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C7839619-992D-4E52-B8B8-092B058F3C30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F06AA496-AF5A-4326-8608-AEDC5CC02C18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5795492B-0BB6-45F8-9FF1-94B105968A3C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933F79D9-9989-4290-9F18-743583E927F0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0D9F4BEE-7074-4050-BBE0-DD4956B072C1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B4C4E104-F555-49DB-A1B6-F891718441C2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B18D4CB7-CDEC-4B85-81EB-2CBEBE7A2F4C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E62059D5-5452-426D-83DD-FA16F7F7DC10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DA94C965-F2BB-4CA5-8D20-A086613698E1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6A854D6D-EE9D-49F8-AE53-E8AD45C8B3C1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8504A0E7-8C14-4E95-8B30-BAB3A34CB807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1E8D2EF1-1A07-4F62-B354-1DB6EAC147DB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70A94AAB-E083-4BE5-B7E0-AA711D701D7A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696CA705-8CEB-454B-944E-9D30DE3D30EF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388538F1-D9DB-45EB-859F-5F81C98EED15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8139D6F7-4C65-4D4D-918C-B1AF393A0C9A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4EA044D8-AFA4-477A-BC3D-F6152BD43841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44D848B1-3D57-4522-8A5B-DA3BADDBBE56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40DCF62C-1123-4C93-AAD7-F9C7195C28C5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2B81BC9E-471E-4F3D-BCFB-AA9EE0A0FE78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2E43FB45-9154-4184-8029-BE7D61D855FB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1123C762-0BE5-4451-8295-7EBFDD6121C8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033E85CE-8800-4765-9F4B-1BFB422D4BDF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E34FD1E9-3C8D-418D-AD67-C7AB05CEA59E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7005832A-AC76-4776-8EA0-07903D279DE8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604E585C-6217-4656-BDBA-C9F8BEDB39FF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55637C40-F1A5-4AD9-973F-2786227F1A95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CB164786-FF6A-4CFA-A012-4B3EC12F8023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3A7BD7DD-06D5-4D76-B808-FCFD18571D5F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26C436E8-EE26-49EB-8020-C1A0563894DC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BDF6F701-5033-4A65-8F2E-9C9CDDB706E6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22816F2A-7A41-404E-B3B6-1941001F352B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619AF5BA-87D6-4B6E-BFC4-77B59B98EA25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720BEDEB-D95A-46BC-8D8B-9B7D1D88D0D3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50BE61F8-F8EA-469B-867A-7E868493A243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11C0D539-AD7A-492E-A06E-7D3D20F4ECDA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763FC55E-FF39-4EF2-B9C4-15930478F7E9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4FB16EC2-C340-41ED-8509-FE0FEBEE7758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97824C71-493E-451D-9B55-AE8A897A2398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F93283F5-1EAE-4CF4-89B0-6CE4476C5618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D7216826-3382-4D1D-ABD3-316729ADFB0D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D56401DA-CDAB-41D2-8FF6-7D6B4041E062}">
      <formula1>0</formula1>
      <formula2>10</formula2>
    </dataValidation>
    <dataValidation type="decimal" allowBlank="1" showInputMessage="1" showErrorMessage="1" errorTitle="Thông báo" error="Giá trị con điểm phải là số &gt;=0 và &lt;=10 " sqref="F50" xr:uid="{9B8F127E-ED24-4EEE-A5DD-20F21A7266A4}">
      <formula1>0</formula1>
      <formula2>10</formula2>
    </dataValidation>
    <dataValidation type="decimal" allowBlank="1" showInputMessage="1" showErrorMessage="1" errorTitle="Thông báo" error="Giá trị con điểm phải là số &gt;=0 và &lt;=10 " sqref="G50" xr:uid="{FFE584DA-AF05-42ED-8D4C-5A1EC71D205E}">
      <formula1>0</formula1>
      <formula2>10</formula2>
    </dataValidation>
    <dataValidation type="decimal" allowBlank="1" showInputMessage="1" showErrorMessage="1" errorTitle="Thông báo" error="Giá trị con điểm phải là số &gt;=0 và &lt;=10 " sqref="H50" xr:uid="{54146DA5-926F-47E9-9D4F-CAA6972C0259}">
      <formula1>0</formula1>
      <formula2>10</formula2>
    </dataValidation>
    <dataValidation type="decimal" allowBlank="1" showInputMessage="1" showErrorMessage="1" errorTitle="Thông báo" error="Giá trị con điểm phải là số &gt;=0 và &lt;=10 " sqref="I50" xr:uid="{55C7275D-F961-44AC-89CD-641589ED91EF}">
      <formula1>0</formula1>
      <formula2>10</formula2>
    </dataValidation>
    <dataValidation type="decimal" allowBlank="1" showInputMessage="1" showErrorMessage="1" errorTitle="Thông báo" error="Giá trị con điểm phải là số &gt;=0 và &lt;=10 " sqref="J50" xr:uid="{98C744B4-A6DC-4C76-870B-86DEFCEB1937}">
      <formula1>0</formula1>
      <formula2>10</formula2>
    </dataValidation>
    <dataValidation type="decimal" allowBlank="1" showInputMessage="1" showErrorMessage="1" errorTitle="Thông báo" error="Giá trị con điểm phải là số &gt;=0 và &lt;=10 " sqref="K50" xr:uid="{C4C58B52-5C62-4358-8402-1F3872CC364E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5688-0487-461F-806E-B9E190128ED6}">
  <dimension ref="A1:AK65536"/>
  <sheetViews>
    <sheetView showRuler="0" zoomScaleNormal="100" workbookViewId="0">
      <selection activeCell="D58" sqref="D58:J62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149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2404703213</v>
      </c>
      <c r="C8" s="24" t="s">
        <v>150</v>
      </c>
      <c r="D8" s="22" t="s">
        <v>24</v>
      </c>
      <c r="E8" s="13" t="s">
        <v>151</v>
      </c>
      <c r="F8" s="13">
        <v>10</v>
      </c>
      <c r="G8" s="13">
        <v>10</v>
      </c>
      <c r="H8" s="13"/>
      <c r="I8" s="16"/>
      <c r="J8" s="16">
        <v>10</v>
      </c>
      <c r="K8" s="16">
        <v>10</v>
      </c>
      <c r="L8" s="18">
        <f t="shared" ref="L8:L39" si="0">IF((COUNT(F8:I8)+COUNT(J8:J8)*2+COUNT(K8:K8)*3),ROUND((SUM(F8:I8)+SUM(J8:J8)*2+SUM(K8:K8)*3)/(COUNT(F8:I8)+COUNT(J8:J8)*2+COUNT(K8:K8)*3),1),"")</f>
        <v>10</v>
      </c>
      <c r="M8" s="16" t="s">
        <v>22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2404703093</v>
      </c>
      <c r="C9" s="24" t="s">
        <v>152</v>
      </c>
      <c r="D9" s="22" t="s">
        <v>24</v>
      </c>
      <c r="E9" s="13" t="s">
        <v>153</v>
      </c>
      <c r="F9" s="13">
        <v>8</v>
      </c>
      <c r="G9" s="13">
        <v>9.5</v>
      </c>
      <c r="H9" s="13"/>
      <c r="I9" s="16"/>
      <c r="J9" s="16">
        <v>10</v>
      </c>
      <c r="K9" s="16">
        <v>10</v>
      </c>
      <c r="L9" s="18">
        <f t="shared" si="0"/>
        <v>9.6</v>
      </c>
      <c r="M9" s="16" t="s">
        <v>22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2404703724</v>
      </c>
      <c r="C10" s="24" t="s">
        <v>154</v>
      </c>
      <c r="D10" s="22" t="s">
        <v>24</v>
      </c>
      <c r="E10" s="13" t="s">
        <v>155</v>
      </c>
      <c r="F10" s="13">
        <v>7</v>
      </c>
      <c r="G10" s="13">
        <v>10</v>
      </c>
      <c r="H10" s="13"/>
      <c r="I10" s="16"/>
      <c r="J10" s="16">
        <v>10</v>
      </c>
      <c r="K10" s="16">
        <v>10</v>
      </c>
      <c r="L10" s="18">
        <f t="shared" si="0"/>
        <v>9.6</v>
      </c>
      <c r="M10" s="16" t="s">
        <v>42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2404703751</v>
      </c>
      <c r="C11" s="24" t="s">
        <v>156</v>
      </c>
      <c r="D11" s="22" t="s">
        <v>157</v>
      </c>
      <c r="E11" s="13" t="s">
        <v>158</v>
      </c>
      <c r="F11" s="13">
        <v>8</v>
      </c>
      <c r="G11" s="13">
        <v>10</v>
      </c>
      <c r="H11" s="13"/>
      <c r="I11" s="16"/>
      <c r="J11" s="16">
        <v>9.5</v>
      </c>
      <c r="K11" s="16">
        <v>10</v>
      </c>
      <c r="L11" s="18">
        <f t="shared" si="0"/>
        <v>9.6</v>
      </c>
      <c r="M11" s="16" t="s">
        <v>42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2404703894</v>
      </c>
      <c r="C12" s="25" t="s">
        <v>159</v>
      </c>
      <c r="D12" s="23" t="s">
        <v>157</v>
      </c>
      <c r="E12" s="15" t="s">
        <v>160</v>
      </c>
      <c r="F12" s="15">
        <v>8</v>
      </c>
      <c r="G12" s="15">
        <v>5</v>
      </c>
      <c r="H12" s="15"/>
      <c r="I12" s="17"/>
      <c r="J12" s="17">
        <v>10</v>
      </c>
      <c r="K12" s="17">
        <v>9</v>
      </c>
      <c r="L12" s="19">
        <f t="shared" si="0"/>
        <v>8.6</v>
      </c>
      <c r="M12" s="17" t="s">
        <v>22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2404703996</v>
      </c>
      <c r="C13" s="24" t="s">
        <v>161</v>
      </c>
      <c r="D13" s="22" t="s">
        <v>162</v>
      </c>
      <c r="E13" s="13" t="s">
        <v>163</v>
      </c>
      <c r="F13" s="13">
        <v>6</v>
      </c>
      <c r="G13" s="13">
        <v>10</v>
      </c>
      <c r="H13" s="13"/>
      <c r="I13" s="16"/>
      <c r="J13" s="16">
        <v>9.5</v>
      </c>
      <c r="K13" s="16">
        <v>8</v>
      </c>
      <c r="L13" s="18">
        <f t="shared" si="0"/>
        <v>8.4</v>
      </c>
      <c r="M13" s="16" t="s">
        <v>33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2404704637</v>
      </c>
      <c r="C14" s="24" t="s">
        <v>164</v>
      </c>
      <c r="D14" s="22" t="s">
        <v>165</v>
      </c>
      <c r="E14" s="13" t="s">
        <v>166</v>
      </c>
      <c r="F14" s="13">
        <v>7</v>
      </c>
      <c r="G14" s="13">
        <v>5</v>
      </c>
      <c r="H14" s="13"/>
      <c r="I14" s="16"/>
      <c r="J14" s="16">
        <v>10</v>
      </c>
      <c r="K14" s="16">
        <v>5.5</v>
      </c>
      <c r="L14" s="18">
        <f t="shared" si="0"/>
        <v>6.9</v>
      </c>
      <c r="M14" s="16" t="s">
        <v>42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2404704844</v>
      </c>
      <c r="C15" s="24" t="s">
        <v>167</v>
      </c>
      <c r="D15" s="22" t="s">
        <v>168</v>
      </c>
      <c r="E15" s="13" t="s">
        <v>169</v>
      </c>
      <c r="F15" s="13">
        <v>9</v>
      </c>
      <c r="G15" s="13">
        <v>9.5</v>
      </c>
      <c r="H15" s="13"/>
      <c r="I15" s="16"/>
      <c r="J15" s="16">
        <v>10</v>
      </c>
      <c r="K15" s="16">
        <v>10</v>
      </c>
      <c r="L15" s="18">
        <f t="shared" si="0"/>
        <v>9.8000000000000007</v>
      </c>
      <c r="M15" s="16" t="s">
        <v>22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2405684063</v>
      </c>
      <c r="C16" s="24" t="s">
        <v>170</v>
      </c>
      <c r="D16" s="22" t="s">
        <v>171</v>
      </c>
      <c r="E16" s="13" t="s">
        <v>172</v>
      </c>
      <c r="F16" s="13">
        <v>8</v>
      </c>
      <c r="G16" s="13">
        <v>10</v>
      </c>
      <c r="H16" s="13"/>
      <c r="I16" s="16"/>
      <c r="J16" s="16">
        <v>10</v>
      </c>
      <c r="K16" s="16">
        <v>8.5</v>
      </c>
      <c r="L16" s="18">
        <f t="shared" si="0"/>
        <v>9.1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2404705191</v>
      </c>
      <c r="C17" s="25" t="s">
        <v>68</v>
      </c>
      <c r="D17" s="23" t="s">
        <v>171</v>
      </c>
      <c r="E17" s="15" t="s">
        <v>173</v>
      </c>
      <c r="F17" s="15">
        <v>8</v>
      </c>
      <c r="G17" s="15">
        <v>10</v>
      </c>
      <c r="H17" s="15"/>
      <c r="I17" s="17"/>
      <c r="J17" s="17">
        <v>9.5</v>
      </c>
      <c r="K17" s="17">
        <v>10</v>
      </c>
      <c r="L17" s="19">
        <f t="shared" si="0"/>
        <v>9.6</v>
      </c>
      <c r="M17" s="17" t="s">
        <v>22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2404705343</v>
      </c>
      <c r="C18" s="24" t="s">
        <v>174</v>
      </c>
      <c r="D18" s="22" t="s">
        <v>175</v>
      </c>
      <c r="E18" s="13" t="s">
        <v>176</v>
      </c>
      <c r="F18" s="13">
        <v>8</v>
      </c>
      <c r="G18" s="13">
        <v>9.5</v>
      </c>
      <c r="H18" s="13"/>
      <c r="I18" s="16"/>
      <c r="J18" s="16">
        <v>10</v>
      </c>
      <c r="K18" s="16">
        <v>9.5</v>
      </c>
      <c r="L18" s="18">
        <f t="shared" si="0"/>
        <v>9.4</v>
      </c>
      <c r="M18" s="16" t="s">
        <v>22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2404705457</v>
      </c>
      <c r="C19" s="24" t="s">
        <v>177</v>
      </c>
      <c r="D19" s="22" t="s">
        <v>178</v>
      </c>
      <c r="E19" s="13" t="s">
        <v>112</v>
      </c>
      <c r="F19" s="13">
        <v>9</v>
      </c>
      <c r="G19" s="13">
        <v>10</v>
      </c>
      <c r="H19" s="13"/>
      <c r="I19" s="16"/>
      <c r="J19" s="16">
        <v>10</v>
      </c>
      <c r="K19" s="16">
        <v>10</v>
      </c>
      <c r="L19" s="18">
        <f t="shared" si="0"/>
        <v>9.9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2404705532</v>
      </c>
      <c r="C20" s="24" t="s">
        <v>179</v>
      </c>
      <c r="D20" s="22" t="s">
        <v>50</v>
      </c>
      <c r="E20" s="13" t="s">
        <v>180</v>
      </c>
      <c r="F20" s="13">
        <v>10</v>
      </c>
      <c r="G20" s="13">
        <v>9.5</v>
      </c>
      <c r="H20" s="13"/>
      <c r="I20" s="16"/>
      <c r="J20" s="16">
        <v>10</v>
      </c>
      <c r="K20" s="16">
        <v>9.5</v>
      </c>
      <c r="L20" s="18">
        <f t="shared" si="0"/>
        <v>9.6999999999999993</v>
      </c>
      <c r="M20" s="16" t="s">
        <v>22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2404705812</v>
      </c>
      <c r="C21" s="24" t="s">
        <v>181</v>
      </c>
      <c r="D21" s="22" t="s">
        <v>56</v>
      </c>
      <c r="E21" s="13" t="s">
        <v>182</v>
      </c>
      <c r="F21" s="13">
        <v>8</v>
      </c>
      <c r="G21" s="13">
        <v>8.5</v>
      </c>
      <c r="H21" s="13"/>
      <c r="I21" s="16"/>
      <c r="J21" s="16">
        <v>10</v>
      </c>
      <c r="K21" s="16">
        <v>8.5</v>
      </c>
      <c r="L21" s="18">
        <f t="shared" si="0"/>
        <v>8.9</v>
      </c>
      <c r="M21" s="16" t="s">
        <v>22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2404705879</v>
      </c>
      <c r="C22" s="25" t="s">
        <v>183</v>
      </c>
      <c r="D22" s="23" t="s">
        <v>59</v>
      </c>
      <c r="E22" s="15" t="s">
        <v>184</v>
      </c>
      <c r="F22" s="15">
        <v>10</v>
      </c>
      <c r="G22" s="15">
        <v>10</v>
      </c>
      <c r="H22" s="15"/>
      <c r="I22" s="17"/>
      <c r="J22" s="17">
        <v>10</v>
      </c>
      <c r="K22" s="17">
        <v>10</v>
      </c>
      <c r="L22" s="19">
        <f t="shared" si="0"/>
        <v>10</v>
      </c>
      <c r="M22" s="17" t="s">
        <v>22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2405548517</v>
      </c>
      <c r="C23" s="24" t="s">
        <v>185</v>
      </c>
      <c r="D23" s="22" t="s">
        <v>59</v>
      </c>
      <c r="E23" s="13" t="s">
        <v>41</v>
      </c>
      <c r="F23" s="13">
        <v>10</v>
      </c>
      <c r="G23" s="13">
        <v>10</v>
      </c>
      <c r="H23" s="13"/>
      <c r="I23" s="16"/>
      <c r="J23" s="16">
        <v>10</v>
      </c>
      <c r="K23" s="16">
        <v>9.5</v>
      </c>
      <c r="L23" s="18">
        <f t="shared" si="0"/>
        <v>9.8000000000000007</v>
      </c>
      <c r="M23" s="16" t="s">
        <v>22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2404705994</v>
      </c>
      <c r="C24" s="24" t="s">
        <v>186</v>
      </c>
      <c r="D24" s="22" t="s">
        <v>187</v>
      </c>
      <c r="E24" s="13" t="s">
        <v>188</v>
      </c>
      <c r="F24" s="13">
        <v>9</v>
      </c>
      <c r="G24" s="13">
        <v>10</v>
      </c>
      <c r="H24" s="13"/>
      <c r="I24" s="16"/>
      <c r="J24" s="16">
        <v>10</v>
      </c>
      <c r="K24" s="16">
        <v>10</v>
      </c>
      <c r="L24" s="18">
        <f t="shared" si="0"/>
        <v>9.9</v>
      </c>
      <c r="M24" s="16" t="s">
        <v>22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2404706027</v>
      </c>
      <c r="C25" s="24" t="s">
        <v>189</v>
      </c>
      <c r="D25" s="22" t="s">
        <v>190</v>
      </c>
      <c r="E25" s="13" t="s">
        <v>191</v>
      </c>
      <c r="F25" s="13">
        <v>8</v>
      </c>
      <c r="G25" s="13">
        <v>10</v>
      </c>
      <c r="H25" s="13"/>
      <c r="I25" s="16"/>
      <c r="J25" s="16">
        <v>10</v>
      </c>
      <c r="K25" s="16">
        <v>6</v>
      </c>
      <c r="L25" s="18">
        <f t="shared" si="0"/>
        <v>8</v>
      </c>
      <c r="M25" s="16" t="s">
        <v>22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2404706103</v>
      </c>
      <c r="C26" s="24" t="s">
        <v>192</v>
      </c>
      <c r="D26" s="22" t="s">
        <v>190</v>
      </c>
      <c r="E26" s="13" t="s">
        <v>137</v>
      </c>
      <c r="F26" s="13">
        <v>10</v>
      </c>
      <c r="G26" s="13">
        <v>10</v>
      </c>
      <c r="H26" s="13"/>
      <c r="I26" s="16"/>
      <c r="J26" s="16">
        <v>10</v>
      </c>
      <c r="K26" s="16">
        <v>9.5</v>
      </c>
      <c r="L26" s="18">
        <f t="shared" si="0"/>
        <v>9.8000000000000007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2404708015</v>
      </c>
      <c r="C27" s="25" t="s">
        <v>193</v>
      </c>
      <c r="D27" s="23" t="s">
        <v>194</v>
      </c>
      <c r="E27" s="15" t="s">
        <v>195</v>
      </c>
      <c r="F27" s="15">
        <v>10</v>
      </c>
      <c r="G27" s="15">
        <v>10</v>
      </c>
      <c r="H27" s="15"/>
      <c r="I27" s="17"/>
      <c r="J27" s="17">
        <v>10</v>
      </c>
      <c r="K27" s="17">
        <v>10</v>
      </c>
      <c r="L27" s="19">
        <f t="shared" si="0"/>
        <v>10</v>
      </c>
      <c r="M27" s="17" t="s">
        <v>22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2404707447</v>
      </c>
      <c r="C28" s="24" t="s">
        <v>61</v>
      </c>
      <c r="D28" s="22" t="s">
        <v>194</v>
      </c>
      <c r="E28" s="13" t="s">
        <v>196</v>
      </c>
      <c r="F28" s="13">
        <v>9</v>
      </c>
      <c r="G28" s="13">
        <v>10</v>
      </c>
      <c r="H28" s="13"/>
      <c r="I28" s="16"/>
      <c r="J28" s="16">
        <v>10</v>
      </c>
      <c r="K28" s="16">
        <v>10</v>
      </c>
      <c r="L28" s="18">
        <f t="shared" si="0"/>
        <v>9.9</v>
      </c>
      <c r="M28" s="16" t="s">
        <v>22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2404708208</v>
      </c>
      <c r="C29" s="24" t="s">
        <v>197</v>
      </c>
      <c r="D29" s="22" t="s">
        <v>121</v>
      </c>
      <c r="E29" s="13" t="s">
        <v>198</v>
      </c>
      <c r="F29" s="13">
        <v>7</v>
      </c>
      <c r="G29" s="13">
        <v>9</v>
      </c>
      <c r="H29" s="13"/>
      <c r="I29" s="16"/>
      <c r="J29" s="16">
        <v>10</v>
      </c>
      <c r="K29" s="16">
        <v>7.5</v>
      </c>
      <c r="L29" s="18">
        <f t="shared" si="0"/>
        <v>8.4</v>
      </c>
      <c r="M29" s="16" t="s">
        <v>42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2404797210</v>
      </c>
      <c r="C30" s="24" t="s">
        <v>199</v>
      </c>
      <c r="D30" s="22" t="s">
        <v>200</v>
      </c>
      <c r="E30" s="13" t="s">
        <v>201</v>
      </c>
      <c r="F30" s="13">
        <v>8</v>
      </c>
      <c r="G30" s="13">
        <v>10</v>
      </c>
      <c r="H30" s="13"/>
      <c r="I30" s="16"/>
      <c r="J30" s="16">
        <v>10</v>
      </c>
      <c r="K30" s="16">
        <v>9</v>
      </c>
      <c r="L30" s="18">
        <f t="shared" si="0"/>
        <v>9.3000000000000007</v>
      </c>
      <c r="M30" s="16" t="s">
        <v>42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2404799117</v>
      </c>
      <c r="C31" s="24" t="s">
        <v>202</v>
      </c>
      <c r="D31" s="22" t="s">
        <v>203</v>
      </c>
      <c r="E31" s="13" t="s">
        <v>204</v>
      </c>
      <c r="F31" s="13">
        <v>10</v>
      </c>
      <c r="G31" s="13">
        <v>10</v>
      </c>
      <c r="H31" s="13"/>
      <c r="I31" s="16"/>
      <c r="J31" s="16">
        <v>10</v>
      </c>
      <c r="K31" s="16">
        <v>8.5</v>
      </c>
      <c r="L31" s="18">
        <f t="shared" si="0"/>
        <v>9.4</v>
      </c>
      <c r="M31" s="16" t="s">
        <v>22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2404799578</v>
      </c>
      <c r="C32" s="25" t="s">
        <v>205</v>
      </c>
      <c r="D32" s="23" t="s">
        <v>98</v>
      </c>
      <c r="E32" s="15" t="s">
        <v>206</v>
      </c>
      <c r="F32" s="15">
        <v>7</v>
      </c>
      <c r="G32" s="15">
        <v>9</v>
      </c>
      <c r="H32" s="15"/>
      <c r="I32" s="17"/>
      <c r="J32" s="17">
        <v>9.5</v>
      </c>
      <c r="K32" s="17">
        <v>9.5</v>
      </c>
      <c r="L32" s="19">
        <f t="shared" si="0"/>
        <v>9.1</v>
      </c>
      <c r="M32" s="17" t="s">
        <v>42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2404799587</v>
      </c>
      <c r="C33" s="24" t="s">
        <v>207</v>
      </c>
      <c r="D33" s="22" t="s">
        <v>98</v>
      </c>
      <c r="E33" s="13" t="s">
        <v>208</v>
      </c>
      <c r="F33" s="13">
        <v>10</v>
      </c>
      <c r="G33" s="13">
        <v>10</v>
      </c>
      <c r="H33" s="13"/>
      <c r="I33" s="16"/>
      <c r="J33" s="16">
        <v>10</v>
      </c>
      <c r="K33" s="16">
        <v>10</v>
      </c>
      <c r="L33" s="18">
        <f t="shared" si="0"/>
        <v>10</v>
      </c>
      <c r="M33" s="16" t="s">
        <v>22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2404800498</v>
      </c>
      <c r="C34" s="24" t="s">
        <v>209</v>
      </c>
      <c r="D34" s="22" t="s">
        <v>98</v>
      </c>
      <c r="E34" s="13" t="s">
        <v>210</v>
      </c>
      <c r="F34" s="13">
        <v>8</v>
      </c>
      <c r="G34" s="13">
        <v>9</v>
      </c>
      <c r="H34" s="13"/>
      <c r="I34" s="16"/>
      <c r="J34" s="16">
        <v>10</v>
      </c>
      <c r="K34" s="16">
        <v>7.5</v>
      </c>
      <c r="L34" s="18">
        <f t="shared" si="0"/>
        <v>8.5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2404800408</v>
      </c>
      <c r="C35" s="24" t="s">
        <v>211</v>
      </c>
      <c r="D35" s="22" t="s">
        <v>98</v>
      </c>
      <c r="E35" s="13" t="s">
        <v>212</v>
      </c>
      <c r="F35" s="13">
        <v>9</v>
      </c>
      <c r="G35" s="13">
        <v>9</v>
      </c>
      <c r="H35" s="13"/>
      <c r="I35" s="16"/>
      <c r="J35" s="16">
        <v>10</v>
      </c>
      <c r="K35" s="16">
        <v>7.5</v>
      </c>
      <c r="L35" s="18">
        <f t="shared" si="0"/>
        <v>8.6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2404800617</v>
      </c>
      <c r="C36" s="24" t="s">
        <v>213</v>
      </c>
      <c r="D36" s="22" t="s">
        <v>214</v>
      </c>
      <c r="E36" s="13" t="s">
        <v>65</v>
      </c>
      <c r="F36" s="13">
        <v>10</v>
      </c>
      <c r="G36" s="13">
        <v>10</v>
      </c>
      <c r="H36" s="13"/>
      <c r="I36" s="16"/>
      <c r="J36" s="16">
        <v>10</v>
      </c>
      <c r="K36" s="16">
        <v>9.5</v>
      </c>
      <c r="L36" s="18">
        <f t="shared" si="0"/>
        <v>9.8000000000000007</v>
      </c>
      <c r="M36" s="16" t="s">
        <v>22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2404801250</v>
      </c>
      <c r="C37" s="25" t="s">
        <v>215</v>
      </c>
      <c r="D37" s="23" t="s">
        <v>216</v>
      </c>
      <c r="E37" s="15" t="s">
        <v>217</v>
      </c>
      <c r="F37" s="15">
        <v>9</v>
      </c>
      <c r="G37" s="15">
        <v>10</v>
      </c>
      <c r="H37" s="15"/>
      <c r="I37" s="17"/>
      <c r="J37" s="17">
        <v>10</v>
      </c>
      <c r="K37" s="17">
        <v>8</v>
      </c>
      <c r="L37" s="19">
        <f t="shared" si="0"/>
        <v>9</v>
      </c>
      <c r="M37" s="17" t="s">
        <v>22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2404801564</v>
      </c>
      <c r="C38" s="24" t="s">
        <v>218</v>
      </c>
      <c r="D38" s="22" t="s">
        <v>108</v>
      </c>
      <c r="E38" s="13" t="s">
        <v>219</v>
      </c>
      <c r="F38" s="13">
        <v>8</v>
      </c>
      <c r="G38" s="13">
        <v>10</v>
      </c>
      <c r="H38" s="13"/>
      <c r="I38" s="16"/>
      <c r="J38" s="16">
        <v>9.5</v>
      </c>
      <c r="K38" s="16">
        <v>9.5</v>
      </c>
      <c r="L38" s="18">
        <f t="shared" si="0"/>
        <v>9.4</v>
      </c>
      <c r="M38" s="16" t="s">
        <v>22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2404810077</v>
      </c>
      <c r="C39" s="24" t="s">
        <v>220</v>
      </c>
      <c r="D39" s="22" t="s">
        <v>221</v>
      </c>
      <c r="E39" s="13" t="s">
        <v>222</v>
      </c>
      <c r="F39" s="13">
        <v>10</v>
      </c>
      <c r="G39" s="13">
        <v>10</v>
      </c>
      <c r="H39" s="13"/>
      <c r="I39" s="16"/>
      <c r="J39" s="16">
        <v>10</v>
      </c>
      <c r="K39" s="16">
        <v>9.5</v>
      </c>
      <c r="L39" s="18">
        <f t="shared" si="0"/>
        <v>9.8000000000000007</v>
      </c>
      <c r="M39" s="16" t="s">
        <v>22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2404811019</v>
      </c>
      <c r="C40" s="24" t="s">
        <v>223</v>
      </c>
      <c r="D40" s="22" t="s">
        <v>224</v>
      </c>
      <c r="E40" s="13" t="s">
        <v>225</v>
      </c>
      <c r="F40" s="13">
        <v>6</v>
      </c>
      <c r="G40" s="13">
        <v>5</v>
      </c>
      <c r="H40" s="13"/>
      <c r="I40" s="16"/>
      <c r="J40" s="16">
        <v>9.5</v>
      </c>
      <c r="K40" s="16">
        <v>9</v>
      </c>
      <c r="L40" s="18">
        <f t="shared" ref="L40:L71" si="1">IF((COUNT(F40:I40)+COUNT(J40:J40)*2+COUNT(K40:K40)*3),ROUND((SUM(F40:I40)+SUM(J40:J40)*2+SUM(K40:K40)*3)/(COUNT(F40:I40)+COUNT(J40:J40)*2+COUNT(K40:K40)*3),1),"")</f>
        <v>8.1</v>
      </c>
      <c r="M40" s="16" t="s">
        <v>33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2404811582</v>
      </c>
      <c r="C41" s="24" t="s">
        <v>226</v>
      </c>
      <c r="D41" s="22" t="s">
        <v>227</v>
      </c>
      <c r="E41" s="13" t="s">
        <v>228</v>
      </c>
      <c r="F41" s="13">
        <v>10</v>
      </c>
      <c r="G41" s="13">
        <v>10</v>
      </c>
      <c r="H41" s="13"/>
      <c r="I41" s="16"/>
      <c r="J41" s="16">
        <v>10</v>
      </c>
      <c r="K41" s="16">
        <v>10</v>
      </c>
      <c r="L41" s="18">
        <f t="shared" si="1"/>
        <v>10</v>
      </c>
      <c r="M41" s="16" t="s">
        <v>22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2404811909</v>
      </c>
      <c r="C42" s="25" t="s">
        <v>229</v>
      </c>
      <c r="D42" s="23" t="s">
        <v>230</v>
      </c>
      <c r="E42" s="15" t="s">
        <v>231</v>
      </c>
      <c r="F42" s="15">
        <v>9</v>
      </c>
      <c r="G42" s="15">
        <v>10</v>
      </c>
      <c r="H42" s="15"/>
      <c r="I42" s="17"/>
      <c r="J42" s="17">
        <v>10</v>
      </c>
      <c r="K42" s="17">
        <v>7.5</v>
      </c>
      <c r="L42" s="19">
        <f t="shared" si="1"/>
        <v>8.8000000000000007</v>
      </c>
      <c r="M42" s="17" t="s">
        <v>22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2404812181</v>
      </c>
      <c r="C43" s="24" t="s">
        <v>232</v>
      </c>
      <c r="D43" s="22" t="s">
        <v>233</v>
      </c>
      <c r="E43" s="13" t="s">
        <v>234</v>
      </c>
      <c r="F43" s="13">
        <v>9</v>
      </c>
      <c r="G43" s="13">
        <v>10</v>
      </c>
      <c r="H43" s="13"/>
      <c r="I43" s="16"/>
      <c r="J43" s="16">
        <v>9.5</v>
      </c>
      <c r="K43" s="16">
        <v>10</v>
      </c>
      <c r="L43" s="18">
        <f t="shared" si="1"/>
        <v>9.6999999999999993</v>
      </c>
      <c r="M43" s="16" t="s">
        <v>22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2404813191</v>
      </c>
      <c r="C44" s="24" t="s">
        <v>235</v>
      </c>
      <c r="D44" s="22" t="s">
        <v>236</v>
      </c>
      <c r="E44" s="13" t="s">
        <v>76</v>
      </c>
      <c r="F44" s="13">
        <v>9</v>
      </c>
      <c r="G44" s="13">
        <v>10</v>
      </c>
      <c r="H44" s="13"/>
      <c r="I44" s="16"/>
      <c r="J44" s="16">
        <v>10</v>
      </c>
      <c r="K44" s="16">
        <v>9.5</v>
      </c>
      <c r="L44" s="18">
        <f t="shared" si="1"/>
        <v>9.6</v>
      </c>
      <c r="M44" s="16" t="s">
        <v>22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2404813846</v>
      </c>
      <c r="C45" s="24" t="s">
        <v>237</v>
      </c>
      <c r="D45" s="22" t="s">
        <v>238</v>
      </c>
      <c r="E45" s="13" t="s">
        <v>239</v>
      </c>
      <c r="F45" s="13">
        <v>9</v>
      </c>
      <c r="G45" s="13">
        <v>9.5</v>
      </c>
      <c r="H45" s="13"/>
      <c r="I45" s="16"/>
      <c r="J45" s="16">
        <v>10</v>
      </c>
      <c r="K45" s="16">
        <v>9</v>
      </c>
      <c r="L45" s="18">
        <f t="shared" si="1"/>
        <v>9.4</v>
      </c>
      <c r="M45" s="16" t="s">
        <v>22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2404814092</v>
      </c>
      <c r="C46" s="24" t="s">
        <v>240</v>
      </c>
      <c r="D46" s="22" t="s">
        <v>241</v>
      </c>
      <c r="E46" s="13" t="s">
        <v>242</v>
      </c>
      <c r="F46" s="13">
        <v>8</v>
      </c>
      <c r="G46" s="13">
        <v>10</v>
      </c>
      <c r="H46" s="13"/>
      <c r="I46" s="16"/>
      <c r="J46" s="16">
        <v>10</v>
      </c>
      <c r="K46" s="16">
        <v>8</v>
      </c>
      <c r="L46" s="18">
        <f t="shared" si="1"/>
        <v>8.9</v>
      </c>
      <c r="M46" s="16" t="s">
        <v>22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2404814260</v>
      </c>
      <c r="C47" s="25" t="s">
        <v>243</v>
      </c>
      <c r="D47" s="23" t="s">
        <v>241</v>
      </c>
      <c r="E47" s="15" t="s">
        <v>244</v>
      </c>
      <c r="F47" s="15">
        <v>9</v>
      </c>
      <c r="G47" s="15">
        <v>8</v>
      </c>
      <c r="H47" s="15"/>
      <c r="I47" s="17"/>
      <c r="J47" s="17">
        <v>9.5</v>
      </c>
      <c r="K47" s="17">
        <v>8</v>
      </c>
      <c r="L47" s="19">
        <f t="shared" si="1"/>
        <v>8.6</v>
      </c>
      <c r="M47" s="17" t="s">
        <v>22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2404814336</v>
      </c>
      <c r="C48" s="24" t="s">
        <v>245</v>
      </c>
      <c r="D48" s="22" t="s">
        <v>241</v>
      </c>
      <c r="E48" s="13" t="s">
        <v>246</v>
      </c>
      <c r="F48" s="13">
        <v>6</v>
      </c>
      <c r="G48" s="13">
        <v>10</v>
      </c>
      <c r="H48" s="13"/>
      <c r="I48" s="16"/>
      <c r="J48" s="16">
        <v>10</v>
      </c>
      <c r="K48" s="16">
        <v>7.5</v>
      </c>
      <c r="L48" s="18">
        <f t="shared" si="1"/>
        <v>8.4</v>
      </c>
      <c r="M48" s="16" t="s">
        <v>33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0">
        <v>42</v>
      </c>
      <c r="B49" s="13">
        <v>2404814833</v>
      </c>
      <c r="C49" s="24" t="s">
        <v>247</v>
      </c>
      <c r="D49" s="22" t="s">
        <v>125</v>
      </c>
      <c r="E49" s="13" t="s">
        <v>91</v>
      </c>
      <c r="F49" s="13">
        <v>8</v>
      </c>
      <c r="G49" s="13">
        <v>9</v>
      </c>
      <c r="H49" s="13"/>
      <c r="I49" s="16"/>
      <c r="J49" s="16">
        <v>9.5</v>
      </c>
      <c r="K49" s="16">
        <v>8.5</v>
      </c>
      <c r="L49" s="18">
        <f t="shared" si="1"/>
        <v>8.8000000000000007</v>
      </c>
      <c r="M49" s="16" t="s">
        <v>22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20">
        <v>43</v>
      </c>
      <c r="B50" s="13">
        <v>2404812614</v>
      </c>
      <c r="C50" s="24" t="s">
        <v>248</v>
      </c>
      <c r="D50" s="22" t="s">
        <v>249</v>
      </c>
      <c r="E50" s="13" t="s">
        <v>250</v>
      </c>
      <c r="F50" s="13">
        <v>9</v>
      </c>
      <c r="G50" s="13">
        <v>9.5</v>
      </c>
      <c r="H50" s="13"/>
      <c r="I50" s="16"/>
      <c r="J50" s="16">
        <v>10</v>
      </c>
      <c r="K50" s="16">
        <v>9.5</v>
      </c>
      <c r="L50" s="18">
        <f t="shared" si="1"/>
        <v>9.6</v>
      </c>
      <c r="M50" s="16" t="s">
        <v>22</v>
      </c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20">
        <v>44</v>
      </c>
      <c r="B51" s="13">
        <v>2404812851</v>
      </c>
      <c r="C51" s="24" t="s">
        <v>251</v>
      </c>
      <c r="D51" s="22" t="s">
        <v>252</v>
      </c>
      <c r="E51" s="13" t="s">
        <v>253</v>
      </c>
      <c r="F51" s="13">
        <v>9</v>
      </c>
      <c r="G51" s="13">
        <v>10</v>
      </c>
      <c r="H51" s="13"/>
      <c r="I51" s="16"/>
      <c r="J51" s="16">
        <v>10</v>
      </c>
      <c r="K51" s="16">
        <v>9</v>
      </c>
      <c r="L51" s="18">
        <f t="shared" si="1"/>
        <v>9.4</v>
      </c>
      <c r="M51" s="16" t="s">
        <v>22</v>
      </c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2.75" customHeight="1" x14ac:dyDescent="0.35">
      <c r="A52" s="21">
        <v>45</v>
      </c>
      <c r="B52" s="15">
        <v>2404814917</v>
      </c>
      <c r="C52" s="25" t="s">
        <v>254</v>
      </c>
      <c r="D52" s="23" t="s">
        <v>255</v>
      </c>
      <c r="E52" s="15" t="s">
        <v>256</v>
      </c>
      <c r="F52" s="15">
        <v>6</v>
      </c>
      <c r="G52" s="15">
        <v>7.5</v>
      </c>
      <c r="H52" s="15"/>
      <c r="I52" s="17"/>
      <c r="J52" s="17">
        <v>10</v>
      </c>
      <c r="K52" s="17">
        <v>6.5</v>
      </c>
      <c r="L52" s="19">
        <f t="shared" si="1"/>
        <v>7.6</v>
      </c>
      <c r="M52" s="17" t="s">
        <v>33</v>
      </c>
      <c r="N52" s="11"/>
      <c r="O52" s="11"/>
      <c r="P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2.75" customHeight="1" x14ac:dyDescent="0.35">
      <c r="A53" s="20">
        <v>46</v>
      </c>
      <c r="B53" s="13">
        <v>2404815063</v>
      </c>
      <c r="C53" s="24" t="s">
        <v>257</v>
      </c>
      <c r="D53" s="22" t="s">
        <v>258</v>
      </c>
      <c r="E53" s="13" t="s">
        <v>259</v>
      </c>
      <c r="F53" s="13">
        <v>9</v>
      </c>
      <c r="G53" s="13">
        <v>9</v>
      </c>
      <c r="H53" s="13"/>
      <c r="I53" s="16"/>
      <c r="J53" s="16">
        <v>10</v>
      </c>
      <c r="K53" s="16">
        <v>9.5</v>
      </c>
      <c r="L53" s="18">
        <f t="shared" si="1"/>
        <v>9.5</v>
      </c>
      <c r="M53" s="16" t="s">
        <v>22</v>
      </c>
      <c r="N53" s="11"/>
      <c r="O53" s="11"/>
      <c r="P53" s="1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ht="12.75" customHeight="1" x14ac:dyDescent="0.35">
      <c r="A54" s="20">
        <v>47</v>
      </c>
      <c r="B54" s="13">
        <v>2404815302</v>
      </c>
      <c r="C54" s="24" t="s">
        <v>260</v>
      </c>
      <c r="D54" s="22" t="s">
        <v>261</v>
      </c>
      <c r="E54" s="13" t="s">
        <v>70</v>
      </c>
      <c r="F54" s="13">
        <v>8</v>
      </c>
      <c r="G54" s="13">
        <v>10</v>
      </c>
      <c r="H54" s="13"/>
      <c r="I54" s="16"/>
      <c r="J54" s="16">
        <v>10</v>
      </c>
      <c r="K54" s="16">
        <v>9.5</v>
      </c>
      <c r="L54" s="18">
        <f t="shared" si="1"/>
        <v>9.5</v>
      </c>
      <c r="M54" s="16" t="s">
        <v>22</v>
      </c>
      <c r="N54" s="11"/>
      <c r="O54" s="11"/>
      <c r="P54" s="1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ht="12.75" customHeight="1" x14ac:dyDescent="0.35">
      <c r="A55" s="20">
        <v>48</v>
      </c>
      <c r="B55" s="13">
        <v>2404815475</v>
      </c>
      <c r="C55" s="24" t="s">
        <v>262</v>
      </c>
      <c r="D55" s="22" t="s">
        <v>139</v>
      </c>
      <c r="E55" s="13" t="s">
        <v>263</v>
      </c>
      <c r="F55" s="13">
        <v>6</v>
      </c>
      <c r="G55" s="13">
        <v>10</v>
      </c>
      <c r="H55" s="13"/>
      <c r="I55" s="16"/>
      <c r="J55" s="16">
        <v>10</v>
      </c>
      <c r="K55" s="16">
        <v>8.5</v>
      </c>
      <c r="L55" s="18">
        <f t="shared" si="1"/>
        <v>8.8000000000000007</v>
      </c>
      <c r="M55" s="16" t="s">
        <v>33</v>
      </c>
      <c r="N55" s="11"/>
      <c r="O55" s="11"/>
      <c r="P55" s="11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spans="1:37" ht="12.75" customHeight="1" x14ac:dyDescent="0.35">
      <c r="A56" s="21">
        <v>49</v>
      </c>
      <c r="B56" s="15">
        <v>2404815603</v>
      </c>
      <c r="C56" s="25" t="s">
        <v>264</v>
      </c>
      <c r="D56" s="23" t="s">
        <v>139</v>
      </c>
      <c r="E56" s="15" t="s">
        <v>265</v>
      </c>
      <c r="F56" s="15">
        <v>7</v>
      </c>
      <c r="G56" s="15">
        <v>9.5</v>
      </c>
      <c r="H56" s="15"/>
      <c r="I56" s="17"/>
      <c r="J56" s="17">
        <v>10</v>
      </c>
      <c r="K56" s="17">
        <v>9.5</v>
      </c>
      <c r="L56" s="19">
        <f t="shared" si="1"/>
        <v>9.3000000000000007</v>
      </c>
      <c r="M56" s="17" t="s">
        <v>42</v>
      </c>
      <c r="N56" s="11"/>
      <c r="O56" s="11"/>
      <c r="P56" s="1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ht="12.75" customHeight="1" x14ac:dyDescent="0.35">
      <c r="A57" s="39" t="s">
        <v>141</v>
      </c>
      <c r="B57" s="40"/>
      <c r="C57" s="41"/>
      <c r="D57" s="41"/>
      <c r="E57" s="41"/>
      <c r="F57" s="40"/>
      <c r="G57" s="40"/>
      <c r="H57" s="40"/>
      <c r="I57" s="40"/>
      <c r="J57" s="42"/>
      <c r="K57" s="8"/>
      <c r="L57" s="9"/>
      <c r="M57" s="10"/>
      <c r="N57" s="11"/>
      <c r="O57" s="11"/>
      <c r="P57" s="1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spans="1:37" ht="12.75" customHeight="1" x14ac:dyDescent="0.35">
      <c r="A58" s="43"/>
      <c r="B58" s="33"/>
      <c r="C58" s="44"/>
      <c r="D58" s="45"/>
      <c r="E58" s="45"/>
      <c r="F58" s="46"/>
      <c r="G58" s="46"/>
      <c r="H58" s="46"/>
      <c r="I58" s="46"/>
      <c r="J58" s="47"/>
    </row>
    <row r="59" spans="1:37" ht="12.75" customHeight="1" x14ac:dyDescent="0.35">
      <c r="A59" s="48" t="s">
        <v>142</v>
      </c>
      <c r="B59" s="33"/>
      <c r="C59" s="44"/>
      <c r="D59" s="45" t="s">
        <v>143</v>
      </c>
      <c r="E59" s="45"/>
      <c r="F59" s="46" t="str">
        <f>TEXT(COUNTIF(L8:L56,"&gt;="&amp;Q59),"#0")</f>
        <v>47</v>
      </c>
      <c r="G59" s="46"/>
      <c r="H59" s="31" t="s">
        <v>144</v>
      </c>
      <c r="I59" s="46" t="str">
        <f>ROUND(F59/IF(COUNTIF(L8:L56,"&gt;=0")=0,1,COUNTIF(L8:L56,"&gt;=0")),4)*100&amp;"%"</f>
        <v>95.92%</v>
      </c>
      <c r="J59" s="47"/>
      <c r="Q59" s="26">
        <v>7.95</v>
      </c>
    </row>
    <row r="60" spans="1:37" ht="12.75" customHeight="1" x14ac:dyDescent="0.35">
      <c r="A60" s="43" t="s">
        <v>145</v>
      </c>
      <c r="B60" s="33"/>
      <c r="C60" s="44"/>
      <c r="D60" s="45" t="s">
        <v>146</v>
      </c>
      <c r="E60" s="45"/>
      <c r="F60" s="46" t="str">
        <f>TEXT(COUNTIF(L8:L56,"&gt;="&amp;Q60)-F59,"#0")</f>
        <v>2</v>
      </c>
      <c r="G60" s="46"/>
      <c r="H60" s="31" t="s">
        <v>144</v>
      </c>
      <c r="I60" s="46" t="str">
        <f>ROUND(F60/IF(COUNTIF(L8:L56,"&gt;=0")=0,1,COUNTIF(L8:L56,"&gt;=0")),4)*100&amp;"%"</f>
        <v>4.08%</v>
      </c>
      <c r="J60" s="47"/>
      <c r="Q60" s="26">
        <v>6.45</v>
      </c>
    </row>
    <row r="61" spans="1:37" ht="12.75" customHeight="1" x14ac:dyDescent="0.35">
      <c r="A61" s="27"/>
      <c r="D61" s="45" t="s">
        <v>147</v>
      </c>
      <c r="E61" s="45"/>
      <c r="F61" s="46" t="str">
        <f>TEXT(COUNTIF(L8:L56,"&gt;="&amp;Q61)-F60-F59,"#0")</f>
        <v>0</v>
      </c>
      <c r="G61" s="46"/>
      <c r="H61" s="31" t="s">
        <v>144</v>
      </c>
      <c r="I61" s="46" t="str">
        <f>ROUND(F61/IF(COUNTIF(L8:L56,"&gt;=0")=0,1,COUNTIF(L8:L56,"&gt;=0")),4)*100&amp;"%"</f>
        <v>0%</v>
      </c>
      <c r="J61" s="47"/>
      <c r="Q61" s="26">
        <v>4.95</v>
      </c>
    </row>
    <row r="62" spans="1:37" ht="12.75" customHeight="1" x14ac:dyDescent="0.35">
      <c r="A62" s="28"/>
      <c r="B62" s="29"/>
      <c r="C62" s="30"/>
      <c r="D62" s="49" t="s">
        <v>148</v>
      </c>
      <c r="E62" s="49"/>
      <c r="F62" s="50" t="str">
        <f>TEXT(COUNTIF(L8:L56,"&gt;=0")-F58-F59-F60-F61,"#0")</f>
        <v>0</v>
      </c>
      <c r="G62" s="50"/>
      <c r="H62" s="32" t="s">
        <v>144</v>
      </c>
      <c r="I62" s="50" t="str">
        <f>ROUND(F62/IF(COUNTIF(L8:L56,"&gt;=0")=0,1,COUNTIF(L8:L56,"&gt;=0")),4)*100&amp;"%"</f>
        <v>0%</v>
      </c>
      <c r="J62" s="51"/>
    </row>
    <row r="65536" ht="14.5" x14ac:dyDescent="0.35"/>
  </sheetData>
  <mergeCells count="32">
    <mergeCell ref="D61:E61"/>
    <mergeCell ref="F61:G61"/>
    <mergeCell ref="I61:J61"/>
    <mergeCell ref="D62:E62"/>
    <mergeCell ref="F62:G62"/>
    <mergeCell ref="I62:J62"/>
    <mergeCell ref="A57:J58"/>
    <mergeCell ref="A59:C59"/>
    <mergeCell ref="D59:E59"/>
    <mergeCell ref="F59:G59"/>
    <mergeCell ref="I59:J59"/>
    <mergeCell ref="A60:C60"/>
    <mergeCell ref="D60:E60"/>
    <mergeCell ref="F60:G60"/>
    <mergeCell ref="I60:J60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96">
    <dataValidation type="list" allowBlank="1" showInputMessage="1" showErrorMessage="1" errorTitle="Thông báo" error="Bạn phải nhập [Đạt] = d, Đ, đ, 1   [Chưa đạt] = c, CĐ, cđ, 2" sqref="C5" xr:uid="{CC9C30F9-446D-4B86-A3BF-40AFB9CFBA89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8DD324D4-12A1-4546-BB4D-02EAB93EC21A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200110B7-1E36-4468-88F6-DB03092244B7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FB27722C-9462-4E7D-81D6-698D0B2CFDB2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12DBDA86-D0BC-4549-858F-D4D47C90E081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F1DBD2AD-C1B4-418C-97F1-10EF4EF6620C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31EF7E97-D30D-4AF4-AB7B-07FA99784D99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644454B9-DCF1-49E1-AAB4-C02FE82CFAF6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2EAD37E4-1D14-4EDF-B499-DABB7EFAE9DE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E9F5B482-534A-46C9-93CE-1DF4BBD5988D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1A939269-492E-47FD-A66A-6616E8803042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F971EE02-93EB-44E1-8DDA-6A43AC8FCBB3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056F1BAA-17B8-47B3-B76B-8961C55A33F6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E1F404AC-DDEF-453C-9254-7378D963AD0C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99BF5E2B-5D5E-45F4-96BD-288F6DEB52F8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2A24D618-221D-40D1-9099-7A16A38ACA2D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73C2303A-7453-46EC-AB34-79A280B8A768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B765AB34-8362-4F04-B10D-1390C2194C3A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854AEF1F-A52B-4854-B9D3-3000C9167DDD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E307E660-1CDF-4244-B9D7-6573C552F5BE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DA40330F-FB85-4C47-B8C3-463DD43DF457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55014EBF-0378-4648-BBF4-A6F2C5C7B83B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8EE72346-595A-4B9E-A6D4-3043572DD6A7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4D168AA3-B3D4-433F-BD99-8357D90C6070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6E9FD60C-3944-47DF-861D-D648E6D4EE8C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6918B76C-1C55-4D5B-AC9C-B48441E9D5DF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4391AFD3-6FB9-4CF7-B7E9-FE9288844559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774BA8AD-20BD-486D-A43A-9874E56BAA0B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FDAC412C-5186-4C69-8E82-B7FEFA4707D3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5B4FAB7D-3A1B-4EF1-A83D-1F79AB19AE94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07E82E87-652B-46BC-BFB7-6D824359EE1D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0BCF60C4-15B4-4261-829A-61134258B5C9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D8FEE2EA-1B06-482A-B596-9024A0003729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0863F04A-F4C6-42C2-814A-1B603BB8F5EA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E4C3EC48-74DB-49F1-B914-8F4A12995672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8664EF27-C0DB-4C99-9876-07CAC67C4758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D5717A06-A3FF-41FC-835B-BD9D0F350FAE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91E4FEE6-EDCB-4B2C-AC87-ED30ECB312A5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66E546DE-EBF3-472C-99E2-E3615F91C61A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4BD66A2C-CE7D-4161-848A-6E369CB3E267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755AAAFC-C34C-4567-8156-8AB9EA81E785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97907968-90B5-4AB3-B81C-C0FDF20C3B23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F2651FAF-72C4-4ECB-B60B-A7DAB7432E05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B07CF2D7-4E0F-4FAB-8527-9B7B6D7AEF41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375279BD-85AB-45D4-BC6E-44CDD62AEEEB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4EBDC4C0-ADD8-453C-B2EB-A65EED1F014D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33DF6FA8-FEFB-4A0B-995B-99D05D4C99ED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764F1856-82C7-44E4-989B-488A8F6D11EC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51EC4464-54C3-4E8E-916C-C6FE76E70E76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2F91B2C2-1DEC-48B4-8851-6013ACF09531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CCB2A0A3-C96F-4682-BCF8-9C0A9CECCFDB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7AE7AED5-6FD3-48FB-89CA-2D6B2986CE30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D98CF550-06B1-4D5A-8CB0-8E2FD0B411B4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C67FBDCE-12FA-46D1-B8D5-10603EDD6986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64BD20BD-E62B-4C49-A85D-77C6424FEFF7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FE3A14D7-D6C2-4476-845B-DECF624C6EF7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19F54C82-35F8-4BB7-A601-C2DEBC758E4F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2ED42196-F0D1-4D45-88DF-51875E2577B0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860BD4D8-DF63-4C61-9B5E-DFB2F61EE362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35C29972-A5AA-42BE-A226-74736E37B4ED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62D087E6-F7CD-4DA9-9987-CFF2FD1ECD52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C1A8CBB9-78EC-4B0E-801C-1D8AF57307B0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A94FA499-1061-4D19-95F8-94791890127F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463B10F1-A487-4D0A-A015-551723F08D61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58B9CBDE-10FD-4871-B1AE-7194D0388AE1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58179CB1-EB33-4EBE-A62E-695BA9C6E6B4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B40FFB35-1BA5-4E67-ADC7-9B0F3BD0443B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360512D0-D351-4303-9F1C-1C95FE96F8A9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2FC82519-CA2C-4618-92FF-9A949A22CEBC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2DEFD2FF-F97F-4BE2-B83B-30DF82B70F5C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4854AA26-3E4B-4897-851F-0CCB1294F806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05771A52-59EB-45DF-93EE-C56CB1EC74E6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8F7C87AD-9B9B-48A5-A286-B048B3971567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4D30C74C-72E6-4187-A730-5EE885C1F2EC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3C43B0BE-DB3A-448B-A44E-FF027F5D5786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DA40E2C5-0C22-41EB-83AA-C4B053201799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39799E56-1B94-42F9-84EF-391B6FECC426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545D587F-4078-42A0-AEEC-19967B160EFA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0DCDBDE3-2114-405D-85F8-D98E9AED3B94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683FCE95-5C4B-4C3F-844B-A7049E6C460B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8D1A5D6E-2EE4-403E-B2BD-92EFA9A4AE1A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D74C1379-4446-4BD1-95EC-D1FAA716943E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14F45A99-BAD0-401F-80D8-87DCBB2A8924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F7454794-D2FA-4945-BE24-172CDD5DB1C9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B92A23B2-9593-4CA7-8A8C-4FE643B65BFD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C844B484-0FDD-46E9-9D49-6B2486308CC5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AD245B91-FA01-4467-B7B4-86A92FFC2847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F7D206B8-BEC8-46EA-A192-6B6D2E6A4958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A9434DE2-8AC6-4504-915C-BEEEC747C864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E8A259A0-4B3B-4902-AC95-12CD7234CA3A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BF7B00CE-5C94-4B89-9D72-EAF2C023A236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B495F5C4-D338-4E21-BB12-9E721701CB27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DC4C4C37-D11C-46C2-AB0A-3F1CE335FC1A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60415B27-3D08-4B84-B561-9E58B45B0FAC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415864F7-2249-4E0E-95CE-B0BD65A6E10F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EE642B5C-4153-459C-9277-91AC76174139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C2B68C1B-3F18-4436-8F84-7C796DD1A47F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92EA148C-852E-4A08-B29F-A1975960B506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6C9DEDA8-C4AB-421A-BF07-4535EDE2B457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2F62CC1F-67EB-41FF-A7B6-95EB59489F1D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9D5C209D-21FA-4DE6-AB0E-D19825BB89DA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6F51280F-108D-45EB-BAB6-ED4323B0AD45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5F3DC189-0DEA-40C0-B633-5C724ED41433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6A539A36-A6C4-4381-8F26-AD1259756532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34E44AC9-980E-4023-B731-5F9541DA78FB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056E017D-89A0-475C-BD0E-0C431F1AB180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B49D4425-8812-4FF4-8F2B-9AD6B5342938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2487D631-1192-4654-990C-708800D389C2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C0FB2985-A258-44A6-92DD-E183FC4E5C2F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D612C0AA-970B-40D8-B07D-94413FDBC534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CC013EBD-5AFD-4CC2-9FB5-70B0D6B79C86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5B7B9A23-1A35-45BC-8270-9AF6C13EE9DD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5B2E7BD7-7965-4826-B111-1552052AC77A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37C6A12D-B198-430C-9C24-D9DEFE1B29C6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C049337D-4BC0-4E63-B610-D5B4EF7A415A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06468AB9-DEFA-4877-859B-483213592336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177AA5B3-BC1F-415E-B35A-E40A47D0D920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AD1D914B-5D05-4FE2-9132-4DA630A66A74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C574A487-BFA0-4017-93E7-C81E575E2B24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E794233C-FB09-4884-AEB8-065364F39D85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28875683-EFB6-4F5D-8A96-407E12D197DD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8FF69A16-1ED1-4DF8-ACB5-3F8D3BAD99E1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562F7186-9ACD-4A8D-9F95-4FBDB573E2CD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17181D62-6053-4E45-91A0-1EF1DEF49A52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BF5A3D8D-16EB-40C2-A45D-85134B8ED7FE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CDAFB5CB-776E-4F43-B76D-85930F36C12D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EE50AFCF-20D4-45BF-ADFD-BC2ADA7A96FE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1992EBA5-DBD9-4CD1-BC95-9125953F99FD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1A048C27-1D4F-4C3E-A8F8-70EA125E745B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D055EEF9-2BB9-4AD9-A500-F115AEB06B70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E14F77AC-4B46-4FE5-8CA5-0B4DB43B30C6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CA8AB6C8-AFED-46A5-AECB-1CC9188355E1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4DA7DD1C-FFA2-45C1-B1B1-3382E70D8392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9BF45F50-41E9-48F6-9A57-356AFA056036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E5E3E659-D18B-44ED-A500-B1B49C3057BB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A5C0BF9F-D670-4EAE-8402-8E4E1739C5D3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6348D916-99B0-4435-923D-5BB72C7AAA93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8F40CD32-643C-4D5D-B6EE-E22BC9C85B74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CEE11D44-CD6E-4E4F-AAA4-2DD74ACA2DF5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1627B889-6DE0-423D-8CB5-EFAF3C47BE5B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AAFC5F70-1FEF-42F4-BE16-4350681E8241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93EF6FBD-BC24-42E1-B00C-DE559A8D53A9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E9FEF51B-FA07-42B2-B9D0-E5EB42DAEAA6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6AD87574-5CEE-4472-A1AB-DF6A95403F44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47B88307-CC05-47C2-9478-FED2265EBE3B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816A5A7A-36BA-4CD9-B3E1-B17BA8A1830B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0AB0275F-A628-4A93-B0E5-CD89544BB169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FB9157CC-57C7-48A5-8BA2-1C169E776719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AA4810EB-A441-44ED-9F92-5BFD8093D3A3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90DDC02E-6510-47D2-B4EF-36C48C770282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121D85AB-F795-49CC-880E-3524E4F9B0C2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33ED2EA9-64F3-438A-9DA7-EEFEB313F640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66E5A333-E9EC-400B-B8E7-3FA5E6FADD3C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518CA9E1-8B28-4C6E-A0C5-FD4CD6E80D01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B94577BC-885E-49D5-BA09-D2EC15CD6581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AF44BFDA-C2CC-4BA8-8AC6-0F5EBE0C85A9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ADA41021-55AB-4500-8EAB-C03B8C30F077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887658E3-8BD0-42BF-AB00-4F0AFD07D22D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C05881DA-1C53-4F4C-8490-F70ED790883A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457DC2CB-D5FA-4971-A8E2-725483897C2D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A60BA3EA-EAC3-427B-8163-2A78DCF187B6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D991343F-5E1D-4749-97C0-E53288E601B9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BF9B1561-4481-4CEA-84BD-96B30A5B46E4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09282EED-9310-42CE-8F16-908093B3A1F8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7B99336F-5BFF-4F8F-8236-662AA302E5F7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484C4DE6-8AAB-4EBE-918A-50701498058C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45887939-3E2D-426A-9355-F7F0E4D156E4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CEF85C8F-A85E-45F8-B40E-741737307A42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32F1C40A-8B75-49CB-A0C0-4642BAC155EA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6E9E1810-B864-478B-BE57-6C8FCA88034F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07FCA870-06A6-46C6-9222-E14CCD7ACC66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8783A6F5-BC37-4CD0-BD7F-FD508DB749BD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28947BD6-DF39-40FF-895E-75B053450FB7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15544028-32E1-4495-A791-94D57D4D23AF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A00BFEA5-7503-4DBE-8AA0-4A2EA08B6957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97EF4060-F3CE-4073-B224-07F196CB0C4D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71E1C97D-3A1C-4956-B545-8C7795658AD9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865F92FD-06BE-4295-BF55-CA715F7B00EB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80E938F9-838F-43B1-83C4-A92E6293AE99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412EFD02-0079-4029-AA94-E7AEB189D753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34167F97-76B8-4811-80D1-70A78FE2D7B2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7485E2D2-90AD-4CA9-B0F7-499170DD9906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D3A7E8B7-419C-4D98-AB22-008BCA323E7E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D294D60E-1FB6-4F96-8197-0BEEB389FA71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7325F244-5111-408A-B756-7F29CEABB3F2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364121CF-06E4-4A78-B097-D883A888B9ED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6EA9A073-2052-4316-86A9-F16B808E1824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883DA088-421C-4A36-888B-00C1FC364A7E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C01EAA67-6173-4163-9C42-1B56F725BA50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B3B88B20-92B8-46FB-A212-D1DE4D80CEF0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B5F44BA9-4CFF-4607-AE5C-C737F4645EE0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354A001E-A6F5-4653-B67A-4DB5421DF996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8777141A-119D-44E8-8299-82B1FA03264F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831CC775-E475-4B49-B786-44862A6B0D22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7E7FEFE2-5B84-40EC-ABE4-6D841271F665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680323A4-F11E-42B1-9595-10B1333C121F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612A2DFA-C245-4857-93A0-7B7B37A56C6A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ACCFAED5-AFB0-42B4-941C-722903E862EE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AE52FDCE-FDF9-41C8-8678-667CCE4328E1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681013AF-C365-4D3A-B486-8BE3A777A840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B76E5D64-DFB5-4D12-AB06-9AE7032F6E4F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B9D83F9D-C6DB-421D-B1B0-B8F07F587EBA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C634EDCC-BBE1-4B6D-B00A-5E21E0876029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8C1C9025-1299-4648-8910-9784D039B8C0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BA43412A-8CCC-4230-95CC-CEBA1899C5AF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4D613A01-7721-443C-943B-5175E10B6202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7993415B-5762-44D6-89DF-0C3E8707F6CB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CA215353-F4A0-4379-81A8-12C7C56C0AD2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59F9DC19-0577-4FBA-BE3E-F96A1C08825E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63053B3A-C624-4DBC-B316-FF0A8F5E01FD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564D5744-B02A-4F20-9877-0508573A760D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90D918AF-AFF5-4324-BC60-800D33922C41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7ED7D300-FF2E-43C1-8811-0CF7227A3EAB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9E7DE49D-66EA-4763-975F-73A7A34ED77F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B8490B2C-A022-4109-822A-E2FF4C7C6A56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24A3CE9E-B86A-403E-9A86-7885F8D0220A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0ABD3256-19B4-43B0-AF2C-09E97D91B79E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EF95B382-FD74-4E3A-AA55-90AB39605C45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9176A94F-86F5-49E9-8E39-07EC789B561B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3DF01726-3084-4B1C-A93A-8ED0495DE45C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55510F1B-7F3E-4905-BC1F-B85A7EE96632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B6322F11-26FD-49C1-9EE7-0D467177BFAC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E50D8C46-6B47-4393-86A7-08FD7ACA8ECC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0EB637EB-6ADA-4292-BCC0-A364A246F035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09510093-D97D-4B24-BDB2-8E750A2743AD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2AD9F476-FECA-42CB-8C74-9CE93053754E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F550DAA2-D4C0-46C5-A537-6998EDF30628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5D71BBD7-6A3B-456E-BDB2-27EC97F5E6E7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5845818E-04B5-4E8D-AD49-BF662B51386A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85A4AC75-1D21-4995-AC8F-659E9EC05AC3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7931B827-37C5-4285-823B-97E6B646D5FE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5E42F09B-B569-49AE-B54F-ACB29BE9DA3F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8D97A976-168E-4A1F-80A3-514CB4FDB66D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046DCEE2-8D68-49BF-A366-34963BD9008B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E9CC089B-281F-47A6-901F-40DA161A29D3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DAC8C19C-271B-42F4-BC04-DDE9522F5474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8636B0FA-9442-417E-B9D0-FAC5BE1571E4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F39CA8D5-F5A7-4CF8-97BE-1CE37B419699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F27F917A-62C9-4F3B-A090-73BBE1D1A0C1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DAC19CBE-E314-4541-93FE-DE83F32BC201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43D9C1C3-61CF-475F-851E-4145EA7885BA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AC5EBDCC-41D9-42C3-A4AC-8C6C35AFDEA0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2582E001-A116-436D-A466-9DA5FD8C654A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FDEDC4F6-7288-4BD5-A3E7-9113769D843F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F542E896-01C5-4C8E-AF78-C7872B771B51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107D0CF1-E162-4AF0-BDEE-66399A39EF30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BD2CA623-8814-44D5-8CE5-021E04AE8EC7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C8D44C41-0AE1-44A6-A5C1-0FD2C8B86D35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D0689FAB-4D40-465C-A2FE-4A58E7BC3461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1B0A8320-B365-4615-84F0-1523C93387F0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9E5621DF-6185-49BC-B74C-04381B74FFF5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A811596B-C074-4DAF-BBB5-53C1EB2ADA71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06361654-FC39-4682-8FB8-EC1747740EA5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CC5A341F-2BE0-45B0-A8A1-BBBA8EEDE09C}">
      <formula1>0</formula1>
      <formula2>10</formula2>
    </dataValidation>
    <dataValidation type="decimal" allowBlank="1" showInputMessage="1" showErrorMessage="1" errorTitle="Thông báo" error="Giá trị con điểm phải là số &gt;=0 và &lt;=10 " sqref="F50" xr:uid="{BDAF2F61-27C3-48B6-AC93-F6E4642A9530}">
      <formula1>0</formula1>
      <formula2>10</formula2>
    </dataValidation>
    <dataValidation type="decimal" allowBlank="1" showInputMessage="1" showErrorMessage="1" errorTitle="Thông báo" error="Giá trị con điểm phải là số &gt;=0 và &lt;=10 " sqref="G50" xr:uid="{CFDF86D9-0AAD-4788-BC89-56C1311E4F92}">
      <formula1>0</formula1>
      <formula2>10</formula2>
    </dataValidation>
    <dataValidation type="decimal" allowBlank="1" showInputMessage="1" showErrorMessage="1" errorTitle="Thông báo" error="Giá trị con điểm phải là số &gt;=0 và &lt;=10 " sqref="H50" xr:uid="{FC9BE4A5-1636-4CDA-9744-6842D468E275}">
      <formula1>0</formula1>
      <formula2>10</formula2>
    </dataValidation>
    <dataValidation type="decimal" allowBlank="1" showInputMessage="1" showErrorMessage="1" errorTitle="Thông báo" error="Giá trị con điểm phải là số &gt;=0 và &lt;=10 " sqref="I50" xr:uid="{3775D906-64BE-4C97-9F5A-FAB3C6C45CC7}">
      <formula1>0</formula1>
      <formula2>10</formula2>
    </dataValidation>
    <dataValidation type="decimal" allowBlank="1" showInputMessage="1" showErrorMessage="1" errorTitle="Thông báo" error="Giá trị con điểm phải là số &gt;=0 và &lt;=10 " sqref="J50" xr:uid="{91181E1F-BD04-408D-9ABA-962EE6DB4F3B}">
      <formula1>0</formula1>
      <formula2>10</formula2>
    </dataValidation>
    <dataValidation type="decimal" allowBlank="1" showInputMessage="1" showErrorMessage="1" errorTitle="Thông báo" error="Giá trị con điểm phải là số &gt;=0 và &lt;=10 " sqref="K50" xr:uid="{8DFF4CC5-758A-4155-8489-5ECFE867B834}">
      <formula1>0</formula1>
      <formula2>10</formula2>
    </dataValidation>
    <dataValidation type="decimal" allowBlank="1" showInputMessage="1" showErrorMessage="1" errorTitle="Thông báo" error="Giá trị con điểm phải là số &gt;=0 và &lt;=10 " sqref="F51" xr:uid="{5B74C96B-2503-406B-8943-5F3473907DD5}">
      <formula1>0</formula1>
      <formula2>10</formula2>
    </dataValidation>
    <dataValidation type="decimal" allowBlank="1" showInputMessage="1" showErrorMessage="1" errorTitle="Thông báo" error="Giá trị con điểm phải là số &gt;=0 và &lt;=10 " sqref="G51" xr:uid="{5F8E8424-0069-4442-AD3E-FBA30A1F90BE}">
      <formula1>0</formula1>
      <formula2>10</formula2>
    </dataValidation>
    <dataValidation type="decimal" allowBlank="1" showInputMessage="1" showErrorMessage="1" errorTitle="Thông báo" error="Giá trị con điểm phải là số &gt;=0 và &lt;=10 " sqref="H51" xr:uid="{10ACC768-26BE-466D-B420-38CC497BAE05}">
      <formula1>0</formula1>
      <formula2>10</formula2>
    </dataValidation>
    <dataValidation type="decimal" allowBlank="1" showInputMessage="1" showErrorMessage="1" errorTitle="Thông báo" error="Giá trị con điểm phải là số &gt;=0 và &lt;=10 " sqref="I51" xr:uid="{E5460B5C-CCAB-49BA-9F51-ABE84DC17EA8}">
      <formula1>0</formula1>
      <formula2>10</formula2>
    </dataValidation>
    <dataValidation type="decimal" allowBlank="1" showInputMessage="1" showErrorMessage="1" errorTitle="Thông báo" error="Giá trị con điểm phải là số &gt;=0 và &lt;=10 " sqref="J51" xr:uid="{9915E2D2-944F-4A1C-AA87-BF0593FD36A6}">
      <formula1>0</formula1>
      <formula2>10</formula2>
    </dataValidation>
    <dataValidation type="decimal" allowBlank="1" showInputMessage="1" showErrorMessage="1" errorTitle="Thông báo" error="Giá trị con điểm phải là số &gt;=0 và &lt;=10 " sqref="K51" xr:uid="{FAC716E2-DF48-4B2F-8CCA-07BB9A1499FF}">
      <formula1>0</formula1>
      <formula2>10</formula2>
    </dataValidation>
    <dataValidation type="decimal" allowBlank="1" showInputMessage="1" showErrorMessage="1" errorTitle="Thông báo" error="Giá trị con điểm phải là số &gt;=0 và &lt;=10 " sqref="F52" xr:uid="{7C286938-2582-4DFE-A8D0-55327B5F877C}">
      <formula1>0</formula1>
      <formula2>10</formula2>
    </dataValidation>
    <dataValidation type="decimal" allowBlank="1" showInputMessage="1" showErrorMessage="1" errorTitle="Thông báo" error="Giá trị con điểm phải là số &gt;=0 và &lt;=10 " sqref="G52" xr:uid="{AF8B10E5-4456-4AA3-AAC5-8747BFE2F101}">
      <formula1>0</formula1>
      <formula2>10</formula2>
    </dataValidation>
    <dataValidation type="decimal" allowBlank="1" showInputMessage="1" showErrorMessage="1" errorTitle="Thông báo" error="Giá trị con điểm phải là số &gt;=0 và &lt;=10 " sqref="H52" xr:uid="{915F5D2A-A3E5-40B1-B41D-9E4676068E12}">
      <formula1>0</formula1>
      <formula2>10</formula2>
    </dataValidation>
    <dataValidation type="decimal" allowBlank="1" showInputMessage="1" showErrorMessage="1" errorTitle="Thông báo" error="Giá trị con điểm phải là số &gt;=0 và &lt;=10 " sqref="I52" xr:uid="{EFFF0724-D8CC-4612-841A-FD74BD9873A9}">
      <formula1>0</formula1>
      <formula2>10</formula2>
    </dataValidation>
    <dataValidation type="decimal" allowBlank="1" showInputMessage="1" showErrorMessage="1" errorTitle="Thông báo" error="Giá trị con điểm phải là số &gt;=0 và &lt;=10 " sqref="J52" xr:uid="{4BDB60EA-44E9-4A3E-92AE-67D0AAAEF536}">
      <formula1>0</formula1>
      <formula2>10</formula2>
    </dataValidation>
    <dataValidation type="decimal" allowBlank="1" showInputMessage="1" showErrorMessage="1" errorTitle="Thông báo" error="Giá trị con điểm phải là số &gt;=0 và &lt;=10 " sqref="K52" xr:uid="{351726DC-AB3E-42D8-84C8-125F0CD07855}">
      <formula1>0</formula1>
      <formula2>10</formula2>
    </dataValidation>
    <dataValidation type="decimal" allowBlank="1" showInputMessage="1" showErrorMessage="1" errorTitle="Thông báo" error="Giá trị con điểm phải là số &gt;=0 và &lt;=10 " sqref="F53" xr:uid="{8DB21370-0E36-4806-B385-E595E8E8F43E}">
      <formula1>0</formula1>
      <formula2>10</formula2>
    </dataValidation>
    <dataValidation type="decimal" allowBlank="1" showInputMessage="1" showErrorMessage="1" errorTitle="Thông báo" error="Giá trị con điểm phải là số &gt;=0 và &lt;=10 " sqref="G53" xr:uid="{8C49DBE6-1D54-4DCE-B5CD-37AFA193DB9B}">
      <formula1>0</formula1>
      <formula2>10</formula2>
    </dataValidation>
    <dataValidation type="decimal" allowBlank="1" showInputMessage="1" showErrorMessage="1" errorTitle="Thông báo" error="Giá trị con điểm phải là số &gt;=0 và &lt;=10 " sqref="H53" xr:uid="{05623835-B831-4F71-A7DF-3AD2B0E6C4E4}">
      <formula1>0</formula1>
      <formula2>10</formula2>
    </dataValidation>
    <dataValidation type="decimal" allowBlank="1" showInputMessage="1" showErrorMessage="1" errorTitle="Thông báo" error="Giá trị con điểm phải là số &gt;=0 và &lt;=10 " sqref="I53" xr:uid="{0BBF1802-B18D-46C2-B7BE-D88020DF84A4}">
      <formula1>0</formula1>
      <formula2>10</formula2>
    </dataValidation>
    <dataValidation type="decimal" allowBlank="1" showInputMessage="1" showErrorMessage="1" errorTitle="Thông báo" error="Giá trị con điểm phải là số &gt;=0 và &lt;=10 " sqref="J53" xr:uid="{9378938E-4501-4372-BF90-5CE000197D28}">
      <formula1>0</formula1>
      <formula2>10</formula2>
    </dataValidation>
    <dataValidation type="decimal" allowBlank="1" showInputMessage="1" showErrorMessage="1" errorTitle="Thông báo" error="Giá trị con điểm phải là số &gt;=0 và &lt;=10 " sqref="K53" xr:uid="{12E80EF4-BA31-425D-9385-1A9EA78ADD26}">
      <formula1>0</formula1>
      <formula2>10</formula2>
    </dataValidation>
    <dataValidation type="decimal" allowBlank="1" showInputMessage="1" showErrorMessage="1" errorTitle="Thông báo" error="Giá trị con điểm phải là số &gt;=0 và &lt;=10 " sqref="F54" xr:uid="{747E4126-FD64-4265-BDC4-9D7CA70C1986}">
      <formula1>0</formula1>
      <formula2>10</formula2>
    </dataValidation>
    <dataValidation type="decimal" allowBlank="1" showInputMessage="1" showErrorMessage="1" errorTitle="Thông báo" error="Giá trị con điểm phải là số &gt;=0 và &lt;=10 " sqref="G54" xr:uid="{DC2772BF-E1CE-438A-866D-B74281A1AAE7}">
      <formula1>0</formula1>
      <formula2>10</formula2>
    </dataValidation>
    <dataValidation type="decimal" allowBlank="1" showInputMessage="1" showErrorMessage="1" errorTitle="Thông báo" error="Giá trị con điểm phải là số &gt;=0 và &lt;=10 " sqref="H54" xr:uid="{0726EF8A-BB28-43CA-9699-E2AA3E0390A2}">
      <formula1>0</formula1>
      <formula2>10</formula2>
    </dataValidation>
    <dataValidation type="decimal" allowBlank="1" showInputMessage="1" showErrorMessage="1" errorTitle="Thông báo" error="Giá trị con điểm phải là số &gt;=0 và &lt;=10 " sqref="I54" xr:uid="{D0428670-30EA-4DAE-9630-BA1E8B489108}">
      <formula1>0</formula1>
      <formula2>10</formula2>
    </dataValidation>
    <dataValidation type="decimal" allowBlank="1" showInputMessage="1" showErrorMessage="1" errorTitle="Thông báo" error="Giá trị con điểm phải là số &gt;=0 và &lt;=10 " sqref="J54" xr:uid="{2B140164-CD40-405C-BD0E-8DE562B6D872}">
      <formula1>0</formula1>
      <formula2>10</formula2>
    </dataValidation>
    <dataValidation type="decimal" allowBlank="1" showInputMessage="1" showErrorMessage="1" errorTitle="Thông báo" error="Giá trị con điểm phải là số &gt;=0 và &lt;=10 " sqref="K54" xr:uid="{5F2FB929-4551-478B-9B64-51117745AD2A}">
      <formula1>0</formula1>
      <formula2>10</formula2>
    </dataValidation>
    <dataValidation type="decimal" allowBlank="1" showInputMessage="1" showErrorMessage="1" errorTitle="Thông báo" error="Giá trị con điểm phải là số &gt;=0 và &lt;=10 " sqref="F55" xr:uid="{FF14678C-E288-4850-9940-AB9F14339D4B}">
      <formula1>0</formula1>
      <formula2>10</formula2>
    </dataValidation>
    <dataValidation type="decimal" allowBlank="1" showInputMessage="1" showErrorMessage="1" errorTitle="Thông báo" error="Giá trị con điểm phải là số &gt;=0 và &lt;=10 " sqref="G55" xr:uid="{A343F5D6-990C-493E-9DCD-FEB9710D2FD2}">
      <formula1>0</formula1>
      <formula2>10</formula2>
    </dataValidation>
    <dataValidation type="decimal" allowBlank="1" showInputMessage="1" showErrorMessage="1" errorTitle="Thông báo" error="Giá trị con điểm phải là số &gt;=0 và &lt;=10 " sqref="H55" xr:uid="{D2E52BA3-D768-42D8-886F-5BE05BD3B8E6}">
      <formula1>0</formula1>
      <formula2>10</formula2>
    </dataValidation>
    <dataValidation type="decimal" allowBlank="1" showInputMessage="1" showErrorMessage="1" errorTitle="Thông báo" error="Giá trị con điểm phải là số &gt;=0 và &lt;=10 " sqref="I55" xr:uid="{6C1C824A-AE63-402C-A556-F1FD875DDC39}">
      <formula1>0</formula1>
      <formula2>10</formula2>
    </dataValidation>
    <dataValidation type="decimal" allowBlank="1" showInputMessage="1" showErrorMessage="1" errorTitle="Thông báo" error="Giá trị con điểm phải là số &gt;=0 và &lt;=10 " sqref="J55" xr:uid="{1A1BBA0B-BB1B-405A-85A6-ACAC5237E213}">
      <formula1>0</formula1>
      <formula2>10</formula2>
    </dataValidation>
    <dataValidation type="decimal" allowBlank="1" showInputMessage="1" showErrorMessage="1" errorTitle="Thông báo" error="Giá trị con điểm phải là số &gt;=0 và &lt;=10 " sqref="K55" xr:uid="{25989DE7-30B7-4723-ADB8-6FFECD4E2D6A}">
      <formula1>0</formula1>
      <formula2>10</formula2>
    </dataValidation>
    <dataValidation type="decimal" allowBlank="1" showInputMessage="1" showErrorMessage="1" errorTitle="Thông báo" error="Giá trị con điểm phải là số &gt;=0 và &lt;=10 " sqref="F56" xr:uid="{129212D1-9977-4C6D-981F-DEEF83D2185E}">
      <formula1>0</formula1>
      <formula2>10</formula2>
    </dataValidation>
    <dataValidation type="decimal" allowBlank="1" showInputMessage="1" showErrorMessage="1" errorTitle="Thông báo" error="Giá trị con điểm phải là số &gt;=0 và &lt;=10 " sqref="G56" xr:uid="{73458C7F-5F09-4666-94DC-AC40AF39FB86}">
      <formula1>0</formula1>
      <formula2>10</formula2>
    </dataValidation>
    <dataValidation type="decimal" allowBlank="1" showInputMessage="1" showErrorMessage="1" errorTitle="Thông báo" error="Giá trị con điểm phải là số &gt;=0 và &lt;=10 " sqref="H56" xr:uid="{F0456D12-6856-4739-BB97-3070EF4ECE64}">
      <formula1>0</formula1>
      <formula2>10</formula2>
    </dataValidation>
    <dataValidation type="decimal" allowBlank="1" showInputMessage="1" showErrorMessage="1" errorTitle="Thông báo" error="Giá trị con điểm phải là số &gt;=0 và &lt;=10 " sqref="I56" xr:uid="{A6AF2B83-F4A3-4B5C-829D-A1E5F8AC7971}">
      <formula1>0</formula1>
      <formula2>10</formula2>
    </dataValidation>
    <dataValidation type="decimal" allowBlank="1" showInputMessage="1" showErrorMessage="1" errorTitle="Thông báo" error="Giá trị con điểm phải là số &gt;=0 và &lt;=10 " sqref="J56" xr:uid="{334CA14D-069A-4C78-9FEA-6B70095F06F9}">
      <formula1>0</formula1>
      <formula2>10</formula2>
    </dataValidation>
    <dataValidation type="decimal" allowBlank="1" showInputMessage="1" showErrorMessage="1" errorTitle="Thông báo" error="Giá trị con điểm phải là số &gt;=0 và &lt;=10 " sqref="K56" xr:uid="{179A7244-D776-41F2-B43B-C7DB8ACCD98E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C872-82CE-485F-A2DA-6D06EF597E62}">
  <dimension ref="A1:AK65536"/>
  <sheetViews>
    <sheetView showRuler="0" zoomScaleNormal="100" workbookViewId="0">
      <selection activeCell="D57" sqref="D57:J61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266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2405206745</v>
      </c>
      <c r="C8" s="24" t="s">
        <v>267</v>
      </c>
      <c r="D8" s="22" t="s">
        <v>20</v>
      </c>
      <c r="E8" s="13" t="s">
        <v>268</v>
      </c>
      <c r="F8" s="13">
        <v>7</v>
      </c>
      <c r="G8" s="13">
        <v>6</v>
      </c>
      <c r="H8" s="13"/>
      <c r="I8" s="16"/>
      <c r="J8" s="16">
        <v>9</v>
      </c>
      <c r="K8" s="16">
        <v>8.5</v>
      </c>
      <c r="L8" s="18">
        <f t="shared" ref="L8:L55" si="0">IF((COUNT(F8:I8)+COUNT(J8:J8)*2+COUNT(K8:K8)*3),ROUND((SUM(F8:I8)+SUM(J8:J8)*2+SUM(K8:K8)*3)/(COUNT(F8:I8)+COUNT(J8:J8)*2+COUNT(K8:K8)*3),1),"")</f>
        <v>8.1</v>
      </c>
      <c r="M8" s="16" t="s">
        <v>42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2405209524</v>
      </c>
      <c r="C9" s="24" t="s">
        <v>269</v>
      </c>
      <c r="D9" s="22" t="s">
        <v>270</v>
      </c>
      <c r="E9" s="13" t="s">
        <v>271</v>
      </c>
      <c r="F9" s="13">
        <v>7</v>
      </c>
      <c r="G9" s="13">
        <v>10</v>
      </c>
      <c r="H9" s="13"/>
      <c r="I9" s="16"/>
      <c r="J9" s="16">
        <v>10</v>
      </c>
      <c r="K9" s="16">
        <v>8.5</v>
      </c>
      <c r="L9" s="18">
        <f t="shared" si="0"/>
        <v>8.9</v>
      </c>
      <c r="M9" s="16" t="s">
        <v>42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2405211341</v>
      </c>
      <c r="C10" s="24" t="s">
        <v>272</v>
      </c>
      <c r="D10" s="22" t="s">
        <v>24</v>
      </c>
      <c r="E10" s="13" t="s">
        <v>273</v>
      </c>
      <c r="F10" s="13">
        <v>5</v>
      </c>
      <c r="G10" s="13">
        <v>5</v>
      </c>
      <c r="H10" s="13"/>
      <c r="I10" s="16"/>
      <c r="J10" s="16">
        <v>9.5</v>
      </c>
      <c r="K10" s="16">
        <v>6.5</v>
      </c>
      <c r="L10" s="18">
        <f t="shared" si="0"/>
        <v>6.9</v>
      </c>
      <c r="M10" s="16" t="s">
        <v>274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2405210374</v>
      </c>
      <c r="C11" s="24" t="s">
        <v>275</v>
      </c>
      <c r="D11" s="22" t="s">
        <v>24</v>
      </c>
      <c r="E11" s="13" t="s">
        <v>242</v>
      </c>
      <c r="F11" s="13">
        <v>9</v>
      </c>
      <c r="G11" s="13">
        <v>7</v>
      </c>
      <c r="H11" s="13"/>
      <c r="I11" s="16"/>
      <c r="J11" s="16">
        <v>9.5</v>
      </c>
      <c r="K11" s="16">
        <v>10</v>
      </c>
      <c r="L11" s="18">
        <f t="shared" si="0"/>
        <v>9.3000000000000007</v>
      </c>
      <c r="M11" s="16" t="s">
        <v>22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2405212476</v>
      </c>
      <c r="C12" s="25" t="s">
        <v>276</v>
      </c>
      <c r="D12" s="23" t="s">
        <v>157</v>
      </c>
      <c r="E12" s="15" t="s">
        <v>277</v>
      </c>
      <c r="F12" s="15">
        <v>8</v>
      </c>
      <c r="G12" s="15">
        <v>9</v>
      </c>
      <c r="H12" s="15"/>
      <c r="I12" s="17"/>
      <c r="J12" s="17">
        <v>9.5</v>
      </c>
      <c r="K12" s="17">
        <v>9.5</v>
      </c>
      <c r="L12" s="19">
        <f t="shared" si="0"/>
        <v>9.1999999999999993</v>
      </c>
      <c r="M12" s="17" t="s">
        <v>22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2405214071</v>
      </c>
      <c r="C13" s="24" t="s">
        <v>278</v>
      </c>
      <c r="D13" s="22" t="s">
        <v>157</v>
      </c>
      <c r="E13" s="13" t="s">
        <v>279</v>
      </c>
      <c r="F13" s="13">
        <v>7</v>
      </c>
      <c r="G13" s="13">
        <v>9</v>
      </c>
      <c r="H13" s="13"/>
      <c r="I13" s="16"/>
      <c r="J13" s="16">
        <v>10</v>
      </c>
      <c r="K13" s="16">
        <v>6.5</v>
      </c>
      <c r="L13" s="18">
        <f t="shared" si="0"/>
        <v>7.9</v>
      </c>
      <c r="M13" s="16" t="s">
        <v>42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2405215305</v>
      </c>
      <c r="C14" s="24" t="s">
        <v>280</v>
      </c>
      <c r="D14" s="22" t="s">
        <v>281</v>
      </c>
      <c r="E14" s="13" t="s">
        <v>282</v>
      </c>
      <c r="F14" s="13">
        <v>7</v>
      </c>
      <c r="G14" s="13">
        <v>8</v>
      </c>
      <c r="H14" s="13"/>
      <c r="I14" s="16"/>
      <c r="J14" s="16">
        <v>6</v>
      </c>
      <c r="K14" s="16">
        <v>5.5</v>
      </c>
      <c r="L14" s="18">
        <f t="shared" si="0"/>
        <v>6.2</v>
      </c>
      <c r="M14" s="16" t="s">
        <v>42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2405223550</v>
      </c>
      <c r="C15" s="24" t="s">
        <v>283</v>
      </c>
      <c r="D15" s="22" t="s">
        <v>284</v>
      </c>
      <c r="E15" s="13" t="s">
        <v>285</v>
      </c>
      <c r="F15" s="13">
        <v>8</v>
      </c>
      <c r="G15" s="13">
        <v>7</v>
      </c>
      <c r="H15" s="13"/>
      <c r="I15" s="16"/>
      <c r="J15" s="16">
        <v>9.5</v>
      </c>
      <c r="K15" s="16">
        <v>9</v>
      </c>
      <c r="L15" s="18">
        <f t="shared" si="0"/>
        <v>8.6999999999999993</v>
      </c>
      <c r="M15" s="16" t="s">
        <v>22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2405226238</v>
      </c>
      <c r="C16" s="24" t="s">
        <v>286</v>
      </c>
      <c r="D16" s="22" t="s">
        <v>147</v>
      </c>
      <c r="E16" s="13" t="s">
        <v>287</v>
      </c>
      <c r="F16" s="13">
        <v>5</v>
      </c>
      <c r="G16" s="13">
        <v>7.5</v>
      </c>
      <c r="H16" s="13"/>
      <c r="I16" s="16"/>
      <c r="J16" s="16">
        <v>8.5</v>
      </c>
      <c r="K16" s="16">
        <v>6</v>
      </c>
      <c r="L16" s="18">
        <f t="shared" si="0"/>
        <v>6.8</v>
      </c>
      <c r="M16" s="16" t="s">
        <v>33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2405229531</v>
      </c>
      <c r="C17" s="25" t="s">
        <v>288</v>
      </c>
      <c r="D17" s="23" t="s">
        <v>44</v>
      </c>
      <c r="E17" s="15" t="s">
        <v>289</v>
      </c>
      <c r="F17" s="15">
        <v>6</v>
      </c>
      <c r="G17" s="15">
        <v>5</v>
      </c>
      <c r="H17" s="15"/>
      <c r="I17" s="17"/>
      <c r="J17" s="17">
        <v>9.5</v>
      </c>
      <c r="K17" s="17">
        <v>6</v>
      </c>
      <c r="L17" s="19">
        <f t="shared" si="0"/>
        <v>6.9</v>
      </c>
      <c r="M17" s="17" t="s">
        <v>33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2405231157</v>
      </c>
      <c r="C18" s="24" t="s">
        <v>290</v>
      </c>
      <c r="D18" s="22" t="s">
        <v>50</v>
      </c>
      <c r="E18" s="13" t="s">
        <v>291</v>
      </c>
      <c r="F18" s="13">
        <v>8</v>
      </c>
      <c r="G18" s="13">
        <v>9.5</v>
      </c>
      <c r="H18" s="13"/>
      <c r="I18" s="16"/>
      <c r="J18" s="16">
        <v>10</v>
      </c>
      <c r="K18" s="16">
        <v>6.5</v>
      </c>
      <c r="L18" s="18">
        <f t="shared" si="0"/>
        <v>8.1</v>
      </c>
      <c r="M18" s="16" t="s">
        <v>42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2405229991</v>
      </c>
      <c r="C19" s="24" t="s">
        <v>292</v>
      </c>
      <c r="D19" s="22" t="s">
        <v>50</v>
      </c>
      <c r="E19" s="13" t="s">
        <v>96</v>
      </c>
      <c r="F19" s="13">
        <v>5</v>
      </c>
      <c r="G19" s="13">
        <v>9.5</v>
      </c>
      <c r="H19" s="13"/>
      <c r="I19" s="16"/>
      <c r="J19" s="16">
        <v>7.5</v>
      </c>
      <c r="K19" s="16">
        <v>9</v>
      </c>
      <c r="L19" s="18">
        <f t="shared" si="0"/>
        <v>8.1</v>
      </c>
      <c r="M19" s="16" t="s">
        <v>274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2405231896</v>
      </c>
      <c r="C20" s="24" t="s">
        <v>293</v>
      </c>
      <c r="D20" s="22" t="s">
        <v>294</v>
      </c>
      <c r="E20" s="13" t="s">
        <v>295</v>
      </c>
      <c r="F20" s="13">
        <v>6</v>
      </c>
      <c r="G20" s="13">
        <v>8.5</v>
      </c>
      <c r="H20" s="13"/>
      <c r="I20" s="16"/>
      <c r="J20" s="16">
        <v>9</v>
      </c>
      <c r="K20" s="16">
        <v>7</v>
      </c>
      <c r="L20" s="18">
        <f t="shared" si="0"/>
        <v>7.6</v>
      </c>
      <c r="M20" s="16" t="s">
        <v>33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2405232796</v>
      </c>
      <c r="C21" s="24" t="s">
        <v>296</v>
      </c>
      <c r="D21" s="22" t="s">
        <v>59</v>
      </c>
      <c r="E21" s="13" t="s">
        <v>297</v>
      </c>
      <c r="F21" s="13">
        <v>5</v>
      </c>
      <c r="G21" s="13">
        <v>9</v>
      </c>
      <c r="H21" s="13"/>
      <c r="I21" s="16"/>
      <c r="J21" s="16">
        <v>10</v>
      </c>
      <c r="K21" s="16">
        <v>9</v>
      </c>
      <c r="L21" s="18">
        <f t="shared" si="0"/>
        <v>8.6999999999999993</v>
      </c>
      <c r="M21" s="16" t="s">
        <v>274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2405308331</v>
      </c>
      <c r="C22" s="25" t="s">
        <v>298</v>
      </c>
      <c r="D22" s="23" t="s">
        <v>299</v>
      </c>
      <c r="E22" s="15" t="s">
        <v>300</v>
      </c>
      <c r="F22" s="15">
        <v>10</v>
      </c>
      <c r="G22" s="15">
        <v>9</v>
      </c>
      <c r="H22" s="15"/>
      <c r="I22" s="17"/>
      <c r="J22" s="17">
        <v>9</v>
      </c>
      <c r="K22" s="17">
        <v>7.5</v>
      </c>
      <c r="L22" s="19">
        <f t="shared" si="0"/>
        <v>8.5</v>
      </c>
      <c r="M22" s="17" t="s">
        <v>22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2405233478</v>
      </c>
      <c r="C23" s="24" t="s">
        <v>301</v>
      </c>
      <c r="D23" s="22" t="s">
        <v>302</v>
      </c>
      <c r="E23" s="13" t="s">
        <v>303</v>
      </c>
      <c r="F23" s="13">
        <v>7</v>
      </c>
      <c r="G23" s="13">
        <v>9.5</v>
      </c>
      <c r="H23" s="13"/>
      <c r="I23" s="16"/>
      <c r="J23" s="16">
        <v>8.5</v>
      </c>
      <c r="K23" s="16">
        <v>8.5</v>
      </c>
      <c r="L23" s="18">
        <f t="shared" si="0"/>
        <v>8.4</v>
      </c>
      <c r="M23" s="16" t="s">
        <v>42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2405234790</v>
      </c>
      <c r="C24" s="24" t="s">
        <v>304</v>
      </c>
      <c r="D24" s="22" t="s">
        <v>305</v>
      </c>
      <c r="E24" s="13" t="s">
        <v>206</v>
      </c>
      <c r="F24" s="13">
        <v>8</v>
      </c>
      <c r="G24" s="13">
        <v>5</v>
      </c>
      <c r="H24" s="13"/>
      <c r="I24" s="16"/>
      <c r="J24" s="16">
        <v>7</v>
      </c>
      <c r="K24" s="16">
        <v>7</v>
      </c>
      <c r="L24" s="18">
        <f t="shared" si="0"/>
        <v>6.9</v>
      </c>
      <c r="M24" s="16" t="s">
        <v>22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2405234414</v>
      </c>
      <c r="C25" s="24" t="s">
        <v>306</v>
      </c>
      <c r="D25" s="22" t="s">
        <v>305</v>
      </c>
      <c r="E25" s="13" t="s">
        <v>307</v>
      </c>
      <c r="F25" s="13">
        <v>7</v>
      </c>
      <c r="G25" s="13">
        <v>7.5</v>
      </c>
      <c r="H25" s="13"/>
      <c r="I25" s="16"/>
      <c r="J25" s="16">
        <v>9</v>
      </c>
      <c r="K25" s="16">
        <v>8.5</v>
      </c>
      <c r="L25" s="18">
        <f t="shared" si="0"/>
        <v>8.3000000000000007</v>
      </c>
      <c r="M25" s="16" t="s">
        <v>42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2405233769</v>
      </c>
      <c r="C26" s="24" t="s">
        <v>308</v>
      </c>
      <c r="D26" s="22" t="s">
        <v>305</v>
      </c>
      <c r="E26" s="13" t="s">
        <v>309</v>
      </c>
      <c r="F26" s="13">
        <v>9</v>
      </c>
      <c r="G26" s="13">
        <v>10</v>
      </c>
      <c r="H26" s="13"/>
      <c r="I26" s="16"/>
      <c r="J26" s="16">
        <v>8.5</v>
      </c>
      <c r="K26" s="16">
        <v>6.5</v>
      </c>
      <c r="L26" s="18">
        <f t="shared" si="0"/>
        <v>7.9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2405235036</v>
      </c>
      <c r="C27" s="25" t="s">
        <v>310</v>
      </c>
      <c r="D27" s="23" t="s">
        <v>78</v>
      </c>
      <c r="E27" s="15" t="s">
        <v>311</v>
      </c>
      <c r="F27" s="15">
        <v>8</v>
      </c>
      <c r="G27" s="15">
        <v>5</v>
      </c>
      <c r="H27" s="15"/>
      <c r="I27" s="17"/>
      <c r="J27" s="17">
        <v>9.5</v>
      </c>
      <c r="K27" s="17">
        <v>9</v>
      </c>
      <c r="L27" s="19">
        <f t="shared" si="0"/>
        <v>8.4</v>
      </c>
      <c r="M27" s="17" t="s">
        <v>22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2405235409</v>
      </c>
      <c r="C28" s="24" t="s">
        <v>312</v>
      </c>
      <c r="D28" s="22" t="s">
        <v>203</v>
      </c>
      <c r="E28" s="13" t="s">
        <v>313</v>
      </c>
      <c r="F28" s="13">
        <v>7</v>
      </c>
      <c r="G28" s="13">
        <v>5</v>
      </c>
      <c r="H28" s="13"/>
      <c r="I28" s="16"/>
      <c r="J28" s="16">
        <v>9.5</v>
      </c>
      <c r="K28" s="16">
        <v>8</v>
      </c>
      <c r="L28" s="18">
        <f t="shared" si="0"/>
        <v>7.9</v>
      </c>
      <c r="M28" s="16" t="s">
        <v>42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2405519170</v>
      </c>
      <c r="C29" s="24" t="s">
        <v>314</v>
      </c>
      <c r="D29" s="22" t="s">
        <v>203</v>
      </c>
      <c r="E29" s="13" t="s">
        <v>36</v>
      </c>
      <c r="F29" s="13">
        <v>7</v>
      </c>
      <c r="G29" s="13">
        <v>8.5</v>
      </c>
      <c r="H29" s="13"/>
      <c r="I29" s="16"/>
      <c r="J29" s="16">
        <v>8.5</v>
      </c>
      <c r="K29" s="16">
        <v>6</v>
      </c>
      <c r="L29" s="18">
        <f t="shared" si="0"/>
        <v>7.2</v>
      </c>
      <c r="M29" s="16" t="s">
        <v>42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2405238935</v>
      </c>
      <c r="C30" s="24" t="s">
        <v>315</v>
      </c>
      <c r="D30" s="22" t="s">
        <v>203</v>
      </c>
      <c r="E30" s="13" t="s">
        <v>316</v>
      </c>
      <c r="F30" s="13">
        <v>9</v>
      </c>
      <c r="G30" s="13">
        <v>10</v>
      </c>
      <c r="H30" s="13"/>
      <c r="I30" s="16"/>
      <c r="J30" s="16">
        <v>9</v>
      </c>
      <c r="K30" s="16">
        <v>8.5</v>
      </c>
      <c r="L30" s="18">
        <f t="shared" si="0"/>
        <v>8.9</v>
      </c>
      <c r="M30" s="16" t="s">
        <v>22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2405241085</v>
      </c>
      <c r="C31" s="24" t="s">
        <v>317</v>
      </c>
      <c r="D31" s="22" t="s">
        <v>90</v>
      </c>
      <c r="E31" s="13" t="s">
        <v>318</v>
      </c>
      <c r="F31" s="13">
        <v>10</v>
      </c>
      <c r="G31" s="13">
        <v>8.5</v>
      </c>
      <c r="H31" s="13"/>
      <c r="I31" s="16"/>
      <c r="J31" s="16">
        <v>9</v>
      </c>
      <c r="K31" s="16">
        <v>7</v>
      </c>
      <c r="L31" s="18">
        <f t="shared" si="0"/>
        <v>8.1999999999999993</v>
      </c>
      <c r="M31" s="16" t="s">
        <v>22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2405240129</v>
      </c>
      <c r="C32" s="25" t="s">
        <v>319</v>
      </c>
      <c r="D32" s="23" t="s">
        <v>90</v>
      </c>
      <c r="E32" s="15" t="s">
        <v>320</v>
      </c>
      <c r="F32" s="15">
        <v>6</v>
      </c>
      <c r="G32" s="15">
        <v>9.5</v>
      </c>
      <c r="H32" s="15"/>
      <c r="I32" s="17"/>
      <c r="J32" s="17">
        <v>9</v>
      </c>
      <c r="K32" s="17">
        <v>6.5</v>
      </c>
      <c r="L32" s="19">
        <f t="shared" si="0"/>
        <v>7.6</v>
      </c>
      <c r="M32" s="17" t="s">
        <v>33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2405241333</v>
      </c>
      <c r="C33" s="24" t="s">
        <v>319</v>
      </c>
      <c r="D33" s="22" t="s">
        <v>90</v>
      </c>
      <c r="E33" s="13" t="s">
        <v>318</v>
      </c>
      <c r="F33" s="13">
        <v>7</v>
      </c>
      <c r="G33" s="13">
        <v>8.5</v>
      </c>
      <c r="H33" s="13"/>
      <c r="I33" s="16"/>
      <c r="J33" s="16">
        <v>6.5</v>
      </c>
      <c r="K33" s="16">
        <v>8.5</v>
      </c>
      <c r="L33" s="18">
        <f t="shared" si="0"/>
        <v>7.7</v>
      </c>
      <c r="M33" s="16" t="s">
        <v>42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2405240420</v>
      </c>
      <c r="C34" s="24" t="s">
        <v>321</v>
      </c>
      <c r="D34" s="22" t="s">
        <v>90</v>
      </c>
      <c r="E34" s="13" t="s">
        <v>206</v>
      </c>
      <c r="F34" s="13">
        <v>9</v>
      </c>
      <c r="G34" s="13">
        <v>8.5</v>
      </c>
      <c r="H34" s="13"/>
      <c r="I34" s="16"/>
      <c r="J34" s="16">
        <v>7.5</v>
      </c>
      <c r="K34" s="16">
        <v>6.5</v>
      </c>
      <c r="L34" s="18">
        <f t="shared" si="0"/>
        <v>7.4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2405240961</v>
      </c>
      <c r="C35" s="24" t="s">
        <v>322</v>
      </c>
      <c r="D35" s="22" t="s">
        <v>90</v>
      </c>
      <c r="E35" s="13" t="s">
        <v>297</v>
      </c>
      <c r="F35" s="13">
        <v>9</v>
      </c>
      <c r="G35" s="13">
        <v>7.5</v>
      </c>
      <c r="H35" s="13"/>
      <c r="I35" s="16"/>
      <c r="J35" s="16">
        <v>9</v>
      </c>
      <c r="K35" s="16">
        <v>7.5</v>
      </c>
      <c r="L35" s="18">
        <f t="shared" si="0"/>
        <v>8.1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2405241552</v>
      </c>
      <c r="C36" s="24" t="s">
        <v>323</v>
      </c>
      <c r="D36" s="22" t="s">
        <v>98</v>
      </c>
      <c r="E36" s="13" t="s">
        <v>324</v>
      </c>
      <c r="F36" s="13">
        <v>7</v>
      </c>
      <c r="G36" s="13">
        <v>9.5</v>
      </c>
      <c r="H36" s="13"/>
      <c r="I36" s="16"/>
      <c r="J36" s="16">
        <v>7</v>
      </c>
      <c r="K36" s="16">
        <v>7</v>
      </c>
      <c r="L36" s="18">
        <f t="shared" si="0"/>
        <v>7.4</v>
      </c>
      <c r="M36" s="16" t="s">
        <v>42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2405242602</v>
      </c>
      <c r="C37" s="25" t="s">
        <v>325</v>
      </c>
      <c r="D37" s="23" t="s">
        <v>214</v>
      </c>
      <c r="E37" s="15" t="s">
        <v>282</v>
      </c>
      <c r="F37" s="15">
        <v>9</v>
      </c>
      <c r="G37" s="15">
        <v>10</v>
      </c>
      <c r="H37" s="15"/>
      <c r="I37" s="17"/>
      <c r="J37" s="17">
        <v>9</v>
      </c>
      <c r="K37" s="17">
        <v>9.5</v>
      </c>
      <c r="L37" s="19">
        <f t="shared" si="0"/>
        <v>9.4</v>
      </c>
      <c r="M37" s="17" t="s">
        <v>22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2405242800</v>
      </c>
      <c r="C38" s="24" t="s">
        <v>326</v>
      </c>
      <c r="D38" s="22" t="s">
        <v>103</v>
      </c>
      <c r="E38" s="13" t="s">
        <v>99</v>
      </c>
      <c r="F38" s="13">
        <v>6</v>
      </c>
      <c r="G38" s="13">
        <v>9</v>
      </c>
      <c r="H38" s="13"/>
      <c r="I38" s="16"/>
      <c r="J38" s="16">
        <v>8.5</v>
      </c>
      <c r="K38" s="16">
        <v>6.5</v>
      </c>
      <c r="L38" s="18">
        <f t="shared" si="0"/>
        <v>7.4</v>
      </c>
      <c r="M38" s="16" t="s">
        <v>33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2405242922</v>
      </c>
      <c r="C39" s="24" t="s">
        <v>327</v>
      </c>
      <c r="D39" s="22" t="s">
        <v>328</v>
      </c>
      <c r="E39" s="13" t="s">
        <v>279</v>
      </c>
      <c r="F39" s="13">
        <v>7</v>
      </c>
      <c r="G39" s="13">
        <v>8</v>
      </c>
      <c r="H39" s="13"/>
      <c r="I39" s="16"/>
      <c r="J39" s="16">
        <v>10</v>
      </c>
      <c r="K39" s="16">
        <v>6.5</v>
      </c>
      <c r="L39" s="18">
        <f t="shared" si="0"/>
        <v>7.8</v>
      </c>
      <c r="M39" s="16" t="s">
        <v>42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2405243072</v>
      </c>
      <c r="C40" s="24" t="s">
        <v>329</v>
      </c>
      <c r="D40" s="22" t="s">
        <v>105</v>
      </c>
      <c r="E40" s="13" t="s">
        <v>311</v>
      </c>
      <c r="F40" s="13">
        <v>8</v>
      </c>
      <c r="G40" s="13">
        <v>8</v>
      </c>
      <c r="H40" s="13"/>
      <c r="I40" s="16"/>
      <c r="J40" s="16">
        <v>9</v>
      </c>
      <c r="K40" s="16">
        <v>8</v>
      </c>
      <c r="L40" s="18">
        <f t="shared" si="0"/>
        <v>8.3000000000000007</v>
      </c>
      <c r="M40" s="16" t="s">
        <v>22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2405243580</v>
      </c>
      <c r="C41" s="24" t="s">
        <v>330</v>
      </c>
      <c r="D41" s="22" t="s">
        <v>331</v>
      </c>
      <c r="E41" s="13" t="s">
        <v>259</v>
      </c>
      <c r="F41" s="13">
        <v>9</v>
      </c>
      <c r="G41" s="13">
        <v>8</v>
      </c>
      <c r="H41" s="13"/>
      <c r="I41" s="16"/>
      <c r="J41" s="16">
        <v>9</v>
      </c>
      <c r="K41" s="16">
        <v>9</v>
      </c>
      <c r="L41" s="18">
        <f t="shared" si="0"/>
        <v>8.9</v>
      </c>
      <c r="M41" s="16" t="s">
        <v>22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2405243952</v>
      </c>
      <c r="C42" s="25" t="s">
        <v>332</v>
      </c>
      <c r="D42" s="23" t="s">
        <v>227</v>
      </c>
      <c r="E42" s="15" t="s">
        <v>333</v>
      </c>
      <c r="F42" s="15">
        <v>8</v>
      </c>
      <c r="G42" s="15">
        <v>8</v>
      </c>
      <c r="H42" s="15"/>
      <c r="I42" s="17"/>
      <c r="J42" s="17">
        <v>10</v>
      </c>
      <c r="K42" s="17">
        <v>9.5</v>
      </c>
      <c r="L42" s="19">
        <f t="shared" si="0"/>
        <v>9.1999999999999993</v>
      </c>
      <c r="M42" s="17" t="s">
        <v>22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2405244430</v>
      </c>
      <c r="C43" s="24" t="s">
        <v>334</v>
      </c>
      <c r="D43" s="22" t="s">
        <v>233</v>
      </c>
      <c r="E43" s="13" t="s">
        <v>335</v>
      </c>
      <c r="F43" s="13">
        <v>7</v>
      </c>
      <c r="G43" s="13">
        <v>8</v>
      </c>
      <c r="H43" s="13"/>
      <c r="I43" s="16"/>
      <c r="J43" s="16">
        <v>7.5</v>
      </c>
      <c r="K43" s="16">
        <v>7.5</v>
      </c>
      <c r="L43" s="18">
        <f t="shared" si="0"/>
        <v>7.5</v>
      </c>
      <c r="M43" s="16" t="s">
        <v>42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2405245124</v>
      </c>
      <c r="C44" s="24" t="s">
        <v>336</v>
      </c>
      <c r="D44" s="22" t="s">
        <v>122</v>
      </c>
      <c r="E44" s="13" t="s">
        <v>256</v>
      </c>
      <c r="F44" s="13">
        <v>7</v>
      </c>
      <c r="G44" s="13">
        <v>8</v>
      </c>
      <c r="H44" s="13"/>
      <c r="I44" s="16"/>
      <c r="J44" s="16">
        <v>10</v>
      </c>
      <c r="K44" s="16">
        <v>9</v>
      </c>
      <c r="L44" s="18">
        <f t="shared" si="0"/>
        <v>8.9</v>
      </c>
      <c r="M44" s="16" t="s">
        <v>42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2405245872</v>
      </c>
      <c r="C45" s="24" t="s">
        <v>337</v>
      </c>
      <c r="D45" s="22" t="s">
        <v>238</v>
      </c>
      <c r="E45" s="13" t="s">
        <v>256</v>
      </c>
      <c r="F45" s="13">
        <v>5</v>
      </c>
      <c r="G45" s="13">
        <v>7.5</v>
      </c>
      <c r="H45" s="13"/>
      <c r="I45" s="16"/>
      <c r="J45" s="16">
        <v>7.5</v>
      </c>
      <c r="K45" s="16">
        <v>6</v>
      </c>
      <c r="L45" s="18">
        <f t="shared" si="0"/>
        <v>6.5</v>
      </c>
      <c r="M45" s="16" t="s">
        <v>33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2405246085</v>
      </c>
      <c r="C46" s="24" t="s">
        <v>338</v>
      </c>
      <c r="D46" s="22" t="s">
        <v>339</v>
      </c>
      <c r="E46" s="13" t="s">
        <v>340</v>
      </c>
      <c r="F46" s="13">
        <v>10</v>
      </c>
      <c r="G46" s="13">
        <v>5</v>
      </c>
      <c r="H46" s="13"/>
      <c r="I46" s="16"/>
      <c r="J46" s="16">
        <v>8</v>
      </c>
      <c r="K46" s="16">
        <v>7.5</v>
      </c>
      <c r="L46" s="18">
        <f t="shared" si="0"/>
        <v>7.6</v>
      </c>
      <c r="M46" s="16" t="s">
        <v>22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2405246210</v>
      </c>
      <c r="C47" s="25" t="s">
        <v>341</v>
      </c>
      <c r="D47" s="23" t="s">
        <v>342</v>
      </c>
      <c r="E47" s="15" t="s">
        <v>343</v>
      </c>
      <c r="F47" s="15">
        <v>9</v>
      </c>
      <c r="G47" s="15">
        <v>8</v>
      </c>
      <c r="H47" s="15"/>
      <c r="I47" s="17"/>
      <c r="J47" s="17">
        <v>8.5</v>
      </c>
      <c r="K47" s="17">
        <v>8.5</v>
      </c>
      <c r="L47" s="19">
        <f t="shared" si="0"/>
        <v>8.5</v>
      </c>
      <c r="M47" s="17" t="s">
        <v>22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2405246379</v>
      </c>
      <c r="C48" s="24" t="s">
        <v>344</v>
      </c>
      <c r="D48" s="22" t="s">
        <v>345</v>
      </c>
      <c r="E48" s="13" t="s">
        <v>282</v>
      </c>
      <c r="F48" s="13">
        <v>7</v>
      </c>
      <c r="G48" s="13">
        <v>8</v>
      </c>
      <c r="H48" s="13"/>
      <c r="I48" s="16"/>
      <c r="J48" s="16">
        <v>9</v>
      </c>
      <c r="K48" s="16">
        <v>7</v>
      </c>
      <c r="L48" s="18">
        <f t="shared" si="0"/>
        <v>7.7</v>
      </c>
      <c r="M48" s="16" t="s">
        <v>42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0">
        <v>42</v>
      </c>
      <c r="B49" s="13">
        <v>2405244718</v>
      </c>
      <c r="C49" s="24" t="s">
        <v>346</v>
      </c>
      <c r="D49" s="22" t="s">
        <v>133</v>
      </c>
      <c r="E49" s="13" t="s">
        <v>347</v>
      </c>
      <c r="F49" s="13">
        <v>6</v>
      </c>
      <c r="G49" s="13">
        <v>9.5</v>
      </c>
      <c r="H49" s="13"/>
      <c r="I49" s="16"/>
      <c r="J49" s="16">
        <v>8.5</v>
      </c>
      <c r="K49" s="16">
        <v>5.5</v>
      </c>
      <c r="L49" s="18">
        <f t="shared" si="0"/>
        <v>7</v>
      </c>
      <c r="M49" s="16" t="s">
        <v>33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20">
        <v>43</v>
      </c>
      <c r="B50" s="13">
        <v>2405244853</v>
      </c>
      <c r="C50" s="24" t="s">
        <v>348</v>
      </c>
      <c r="D50" s="22" t="s">
        <v>349</v>
      </c>
      <c r="E50" s="13" t="s">
        <v>350</v>
      </c>
      <c r="F50" s="13">
        <v>9</v>
      </c>
      <c r="G50" s="13">
        <v>9</v>
      </c>
      <c r="H50" s="13"/>
      <c r="I50" s="16"/>
      <c r="J50" s="16">
        <v>8.5</v>
      </c>
      <c r="K50" s="16">
        <v>8</v>
      </c>
      <c r="L50" s="18">
        <f t="shared" si="0"/>
        <v>8.4</v>
      </c>
      <c r="M50" s="16" t="s">
        <v>22</v>
      </c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20">
        <v>44</v>
      </c>
      <c r="B51" s="13">
        <v>2405247048</v>
      </c>
      <c r="C51" s="24" t="s">
        <v>351</v>
      </c>
      <c r="D51" s="22" t="s">
        <v>136</v>
      </c>
      <c r="E51" s="13" t="s">
        <v>62</v>
      </c>
      <c r="F51" s="13">
        <v>9</v>
      </c>
      <c r="G51" s="13">
        <v>7.5</v>
      </c>
      <c r="H51" s="13"/>
      <c r="I51" s="16"/>
      <c r="J51" s="16">
        <v>8</v>
      </c>
      <c r="K51" s="16">
        <v>8.5</v>
      </c>
      <c r="L51" s="18">
        <f t="shared" si="0"/>
        <v>8.3000000000000007</v>
      </c>
      <c r="M51" s="16" t="s">
        <v>22</v>
      </c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2.75" customHeight="1" x14ac:dyDescent="0.35">
      <c r="A52" s="21">
        <v>45</v>
      </c>
      <c r="B52" s="15">
        <v>2405247143</v>
      </c>
      <c r="C52" s="25" t="s">
        <v>352</v>
      </c>
      <c r="D52" s="23" t="s">
        <v>258</v>
      </c>
      <c r="E52" s="15" t="s">
        <v>353</v>
      </c>
      <c r="F52" s="15">
        <v>6</v>
      </c>
      <c r="G52" s="15">
        <v>6.5</v>
      </c>
      <c r="H52" s="15"/>
      <c r="I52" s="17"/>
      <c r="J52" s="17">
        <v>7.5</v>
      </c>
      <c r="K52" s="17">
        <v>7</v>
      </c>
      <c r="L52" s="19">
        <f t="shared" si="0"/>
        <v>6.9</v>
      </c>
      <c r="M52" s="17" t="s">
        <v>33</v>
      </c>
      <c r="N52" s="11"/>
      <c r="O52" s="11"/>
      <c r="P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2.75" customHeight="1" x14ac:dyDescent="0.35">
      <c r="A53" s="20">
        <v>46</v>
      </c>
      <c r="B53" s="13">
        <v>2405247614</v>
      </c>
      <c r="C53" s="24" t="s">
        <v>354</v>
      </c>
      <c r="D53" s="22" t="s">
        <v>139</v>
      </c>
      <c r="E53" s="13" t="s">
        <v>355</v>
      </c>
      <c r="F53" s="13">
        <v>9</v>
      </c>
      <c r="G53" s="13">
        <v>9</v>
      </c>
      <c r="H53" s="13"/>
      <c r="I53" s="16"/>
      <c r="J53" s="16">
        <v>9</v>
      </c>
      <c r="K53" s="16">
        <v>7</v>
      </c>
      <c r="L53" s="18">
        <f t="shared" si="0"/>
        <v>8.1</v>
      </c>
      <c r="M53" s="16" t="s">
        <v>22</v>
      </c>
      <c r="N53" s="11"/>
      <c r="O53" s="11"/>
      <c r="P53" s="1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ht="12.75" customHeight="1" x14ac:dyDescent="0.35">
      <c r="A54" s="20">
        <v>47</v>
      </c>
      <c r="B54" s="13">
        <v>2405247417</v>
      </c>
      <c r="C54" s="24" t="s">
        <v>356</v>
      </c>
      <c r="D54" s="22" t="s">
        <v>139</v>
      </c>
      <c r="E54" s="13" t="s">
        <v>357</v>
      </c>
      <c r="F54" s="13">
        <v>8</v>
      </c>
      <c r="G54" s="13">
        <v>9</v>
      </c>
      <c r="H54" s="13"/>
      <c r="I54" s="16"/>
      <c r="J54" s="16">
        <v>6.5</v>
      </c>
      <c r="K54" s="16">
        <v>8</v>
      </c>
      <c r="L54" s="18">
        <f t="shared" si="0"/>
        <v>7.7</v>
      </c>
      <c r="M54" s="16" t="s">
        <v>22</v>
      </c>
      <c r="N54" s="11"/>
      <c r="O54" s="11"/>
      <c r="P54" s="1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ht="12.75" customHeight="1" x14ac:dyDescent="0.35">
      <c r="A55" s="21">
        <v>48</v>
      </c>
      <c r="B55" s="15">
        <v>2405248119</v>
      </c>
      <c r="C55" s="25" t="s">
        <v>358</v>
      </c>
      <c r="D55" s="23" t="s">
        <v>359</v>
      </c>
      <c r="E55" s="15" t="s">
        <v>316</v>
      </c>
      <c r="F55" s="15">
        <v>7</v>
      </c>
      <c r="G55" s="15">
        <v>7</v>
      </c>
      <c r="H55" s="15"/>
      <c r="I55" s="17"/>
      <c r="J55" s="17">
        <v>7.5</v>
      </c>
      <c r="K55" s="17">
        <v>5</v>
      </c>
      <c r="L55" s="19">
        <f t="shared" si="0"/>
        <v>6.3</v>
      </c>
      <c r="M55" s="17" t="s">
        <v>42</v>
      </c>
      <c r="N55" s="11"/>
      <c r="O55" s="11"/>
      <c r="P55" s="11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spans="1:37" ht="12.75" customHeight="1" x14ac:dyDescent="0.35">
      <c r="A56" s="39" t="s">
        <v>141</v>
      </c>
      <c r="B56" s="40"/>
      <c r="C56" s="41"/>
      <c r="D56" s="41"/>
      <c r="E56" s="41"/>
      <c r="F56" s="40"/>
      <c r="G56" s="40"/>
      <c r="H56" s="40"/>
      <c r="I56" s="40"/>
      <c r="J56" s="42"/>
      <c r="K56" s="8"/>
      <c r="L56" s="9"/>
      <c r="M56" s="10"/>
      <c r="N56" s="11"/>
      <c r="O56" s="11"/>
      <c r="P56" s="1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ht="12.75" customHeight="1" x14ac:dyDescent="0.35">
      <c r="A57" s="43"/>
      <c r="B57" s="33"/>
      <c r="C57" s="44"/>
      <c r="D57" s="45"/>
      <c r="E57" s="45"/>
      <c r="F57" s="46"/>
      <c r="G57" s="46"/>
      <c r="H57" s="46"/>
      <c r="I57" s="46"/>
      <c r="J57" s="47"/>
    </row>
    <row r="58" spans="1:37" ht="12.75" customHeight="1" x14ac:dyDescent="0.35">
      <c r="A58" s="48" t="s">
        <v>142</v>
      </c>
      <c r="B58" s="33"/>
      <c r="C58" s="44"/>
      <c r="D58" s="45" t="s">
        <v>143</v>
      </c>
      <c r="E58" s="45"/>
      <c r="F58" s="46" t="str">
        <f>TEXT(COUNTIF(L8:L55,"&gt;="&amp;Q58),"#0")</f>
        <v>24</v>
      </c>
      <c r="G58" s="46"/>
      <c r="H58" s="31" t="s">
        <v>144</v>
      </c>
      <c r="I58" s="46" t="str">
        <f>ROUND(F58/IF(COUNTIF(L8:L55,"&gt;=0")=0,1,COUNTIF(L8:L55,"&gt;=0")),4)*100&amp;"%"</f>
        <v>50%</v>
      </c>
      <c r="J58" s="47"/>
      <c r="Q58" s="26">
        <v>7.95</v>
      </c>
    </row>
    <row r="59" spans="1:37" ht="12.75" customHeight="1" x14ac:dyDescent="0.35">
      <c r="A59" s="43" t="s">
        <v>145</v>
      </c>
      <c r="B59" s="33"/>
      <c r="C59" s="44"/>
      <c r="D59" s="45" t="s">
        <v>146</v>
      </c>
      <c r="E59" s="45"/>
      <c r="F59" s="46" t="str">
        <f>TEXT(COUNTIF(L8:L55,"&gt;="&amp;Q59)-F58,"#0")</f>
        <v>22</v>
      </c>
      <c r="G59" s="46"/>
      <c r="H59" s="31" t="s">
        <v>144</v>
      </c>
      <c r="I59" s="46" t="str">
        <f>ROUND(F59/IF(COUNTIF(L8:L55,"&gt;=0")=0,1,COUNTIF(L8:L55,"&gt;=0")),4)*100&amp;"%"</f>
        <v>45.83%</v>
      </c>
      <c r="J59" s="47"/>
      <c r="Q59" s="26">
        <v>6.45</v>
      </c>
    </row>
    <row r="60" spans="1:37" ht="12.75" customHeight="1" x14ac:dyDescent="0.35">
      <c r="A60" s="27"/>
      <c r="D60" s="45" t="s">
        <v>147</v>
      </c>
      <c r="E60" s="45"/>
      <c r="F60" s="46" t="str">
        <f>TEXT(COUNTIF(L8:L55,"&gt;="&amp;Q60)-F59-F58,"#0")</f>
        <v>2</v>
      </c>
      <c r="G60" s="46"/>
      <c r="H60" s="31" t="s">
        <v>144</v>
      </c>
      <c r="I60" s="46" t="str">
        <f>ROUND(F60/IF(COUNTIF(L8:L55,"&gt;=0")=0,1,COUNTIF(L8:L55,"&gt;=0")),4)*100&amp;"%"</f>
        <v>4.17%</v>
      </c>
      <c r="J60" s="47"/>
      <c r="Q60" s="26">
        <v>4.95</v>
      </c>
    </row>
    <row r="61" spans="1:37" ht="12.75" customHeight="1" x14ac:dyDescent="0.35">
      <c r="A61" s="28"/>
      <c r="B61" s="29"/>
      <c r="C61" s="30"/>
      <c r="D61" s="49" t="s">
        <v>148</v>
      </c>
      <c r="E61" s="49"/>
      <c r="F61" s="50" t="str">
        <f>TEXT(COUNTIF(L8:L55,"&gt;=0")-F57-F58-F59-F60,"#0")</f>
        <v>0</v>
      </c>
      <c r="G61" s="50"/>
      <c r="H61" s="32" t="s">
        <v>144</v>
      </c>
      <c r="I61" s="50" t="str">
        <f>ROUND(F61/IF(COUNTIF(L8:L55,"&gt;=0")=0,1,COUNTIF(L8:L55,"&gt;=0")),4)*100&amp;"%"</f>
        <v>0%</v>
      </c>
      <c r="J61" s="51"/>
    </row>
    <row r="65536" ht="14.5" x14ac:dyDescent="0.35"/>
  </sheetData>
  <mergeCells count="32">
    <mergeCell ref="D60:E60"/>
    <mergeCell ref="F60:G60"/>
    <mergeCell ref="I60:J60"/>
    <mergeCell ref="D61:E61"/>
    <mergeCell ref="F61:G61"/>
    <mergeCell ref="I61:J61"/>
    <mergeCell ref="A56:J57"/>
    <mergeCell ref="A58:C58"/>
    <mergeCell ref="D58:E58"/>
    <mergeCell ref="F58:G58"/>
    <mergeCell ref="I58:J58"/>
    <mergeCell ref="A59:C59"/>
    <mergeCell ref="D59:E59"/>
    <mergeCell ref="F59:G59"/>
    <mergeCell ref="I59:J59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90">
    <dataValidation type="list" allowBlank="1" showInputMessage="1" showErrorMessage="1" errorTitle="Thông báo" error="Bạn phải nhập [Đạt] = d, Đ, đ, 1   [Chưa đạt] = c, CĐ, cđ, 2" sqref="C5" xr:uid="{24C3BFD2-1812-4A91-A1C2-1DEC5F534F2D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4C7784F3-9080-484B-9D19-5BACBCAE47C8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6DD05CA9-E313-4DA6-8B3D-CB8F35150A4B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112A970D-17A5-41CE-92D0-0A81E97AD0BD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49A9433A-8CC4-4A39-8035-9DE8FEFF00B4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A67E9A99-218B-4A68-A902-8F53BC382B4F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45BFBC28-072E-4CBA-B7B3-089805C60019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7FB9AD63-3C24-41E2-8D63-22449F233B0F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062AC956-09CE-4521-866A-8A6A21A37D43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373DD1F4-DB98-4212-9228-0F19702C1329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01A34333-F69E-4C0F-9372-FF0351A6F7F6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FF531E49-1957-4960-8617-E306E72BA468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7B3472AF-7201-4D8E-83EA-DD4E74527A97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F2AE1C40-F721-4C66-BB6B-AD6BD354014F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F703DC41-632A-481C-935B-592568C3ED9A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F8A3DB61-7F36-4F5E-BCBA-5FD76D5BE4C9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9577152B-84F1-4BFF-80BB-ECBEFF19765D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751AD1FD-924A-4499-B5B0-E012E78651FC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7DF2E3C6-164C-4497-AE3F-9D02EA9B0FD5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BBE0CDAB-826E-4DBD-9404-6A5A1E4900C3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86554002-476C-4D65-A1BC-45A9EBC105CB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B4B30D32-11F0-41EC-84F7-62347A9F8D13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7188EBB1-8F08-440D-BFCB-00D7870AE1FE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B7DE1B04-FA11-4C7D-8DA6-2DA05B1922FE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2EB83D73-6772-4DDD-8D01-4ADAF3BB6800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4B191F22-A0B9-4D26-B9EC-CBD3AFC7B445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FF587CEE-5570-41C7-892E-B6FAE290BF69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C4550E2F-A696-4C55-BB5A-7E7A6A4CD6E2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AD4421B1-0EB8-4323-AFEB-BBD7AF935371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36336652-3A46-49E9-B707-B2F4F002AC5F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8A6BBE01-1130-43F9-A976-AD31155529EF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CA16CF3E-F9E4-4A81-95BF-65290CCEE94E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41277D27-0A12-4C4C-B723-BE4E2B80ECD0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79DAC133-E238-4B5B-81F8-2E1A4C2DDD95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4793A83F-D341-4E5B-B838-C8D9F989C5F0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A2C9F98C-BF8F-4B23-9708-D7638D1D311E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647BF79D-D694-428F-A1B7-CFE5C7AFB324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25280977-BAB7-48F7-981A-70964D81554D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34C1BA33-5028-4F7D-AA27-4E3F165972A6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4731F23B-6CB1-4D76-A215-08FC56D4A5DF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A9910B07-F0E1-4183-AABA-B02C868ECB99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7741230C-37F3-46F1-90C5-5B5E26DAF87E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0A6B5F75-6AD1-4260-899C-C3B6485C79CB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2B64097C-CC9D-45F0-AEB5-734444FBBEF3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1640376A-AD79-4549-8364-EF6C4C3DD2A2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7C427BD8-28ED-4F70-A704-9890C527F271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6E46B139-F995-4EEE-96B1-0719E7A2BB9C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A94E6600-4F17-42ED-9525-7BC3940F42DE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8B1EACED-F5C3-4117-ADBA-2E42E1820A5F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D6E7DA93-F237-4FFD-9829-5CDD57CCE931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AD2187C5-809D-4E1C-BDE4-952D467A1CC2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52C49910-327D-469C-9781-8057C7372305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C726751D-54F8-4D27-A8D1-39DF80860A72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20322232-0350-47D2-86A3-9CEBCD5E98A5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F5D7FCCA-7ADD-4FF8-B88C-C3D4C101265F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B89DD65D-B41F-4EF5-A2D5-1C4E92BC144D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D8886CE2-7450-4EA0-8E87-F0AF02FB204F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7762DE2E-4119-46C4-967B-D04E1E0FD2DE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619131ED-BBE5-4C70-81AC-46E189ECED4A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429C341A-6C36-417F-BA95-30471862C25A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C27E505E-585B-42A9-9B6D-E637ED1BB73E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E970F90F-C339-4A27-9323-6FE07543BB18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37285889-8D51-4B1E-934D-1A6078FB8DB8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8C37EA39-9126-4BC1-9581-AC524C49744D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2714B9A1-777F-46CF-9572-6ECD3C28645D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55A7A5B9-9EE5-48E4-854B-4D1766A4B1FF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4B15D2B8-1B14-479D-839B-8F1D39C37EC5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B78C750A-5484-40E7-B977-96BA1E1FAC48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7736E146-3CBC-484C-9382-2B6011E60648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ACDC191A-07A4-45E9-88F9-27703B4D9D0C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94E30522-7279-4764-B4E2-5F4302EA2064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9AE25D2C-45BD-45C2-BF42-F0BD0EE37745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91EF54A8-18A4-4E3F-BE8C-87C835B37C24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2287F9E1-1081-425F-9EC1-0D53225502E5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73087290-6D4A-4A7E-8263-B3B19E708D29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FBDB4BED-8081-44AF-B27E-822E15265EF4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D54333D5-2083-4983-A391-FFF01579355F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CCB7D726-0CC6-4165-BC46-59F49D8499CB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D1F581E9-1406-412B-8F30-14F4FBF86A55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6E11257A-C543-4F77-AF7F-E37816E4EFAD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22C4EC00-9B51-4556-A730-BAFD458757C4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FF276896-57E7-4271-AAC6-AF620898E2E1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89E12C12-7C69-453F-A361-6A6568B1B772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5D46EF5E-715F-4A1A-9D61-486C30D2BC98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D60B0AC8-24EA-4015-8E5D-3F5B6460EEEF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A3C0DFD7-B806-4F42-8823-FF4FB17E4917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AEBA2020-A261-44D7-9161-69BF875172FE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A1BCB22B-CAEE-436E-924C-41C4E0FD1B25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FEEA2F3A-6508-4684-A5F3-687867B04CD4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1A957920-799D-4E31-BF7A-60C275CD7811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801A21B7-CB4A-4A60-AF67-5CBB366F5C6F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48222AB2-EA97-4B3F-B53B-E12DD09AF9AA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4D5743F4-2729-4A3D-B7F2-387ECCFF20B1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D5001701-6F91-4537-8121-278C0F273EA3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DD6FED29-C051-493B-9C2A-3580C04040B1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2AC6DBE5-D812-4B05-858C-829F629279B6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6FC0834D-D90B-4F46-AAB5-57822B0F6274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9C215D55-93CC-4139-8D96-351EA2E17461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E223E51B-9718-4243-B499-32896C400A1E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397EFD6F-E765-447D-A58C-F621463C1C11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09B04A7D-C8CF-437A-A117-662686B8D1B7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0DEC09F7-A04D-4169-A7C2-DFC7A4A533FF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A284705D-923E-4838-ABA4-A2A61625FD0E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224DFCF9-83B6-4613-921E-C9D6E119E111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B543E6EA-49BF-4801-92DB-493FB512BCE4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D5429046-F659-4F83-8864-8F54A0C04856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95D35B1C-3107-4F97-B57C-5768BE280BED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5A082A43-5A6F-4E7A-86DB-DEA42AA21FF0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11F039D3-2367-4B6F-9D25-1DA0078A051E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93C93EA3-4622-4281-A773-40FA90B93BD1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D5393E9D-04F8-461F-A59D-9202F2B662D3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E7478806-70F0-428D-A921-9B0B36D9B1F2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2197B1B9-6920-4CA6-9B5E-734C952C16AE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F564DD6B-EF8D-45BB-B3D1-8F8A7B19DF9A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7DBBA1F8-969F-4CA5-B3C3-F474FE7ED05F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AC444C66-67DE-4E81-94C4-7B41766AB1BE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F235418B-F4A8-4D63-BF18-35CF48DA9143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4014562B-E7A3-4674-B1DD-0C3435AFB912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CF9B8C21-E909-47E8-B866-8E0C9336CC2F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C34E805D-6255-4A1A-BA6C-7559AE4A9DD0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02B32A34-5372-46B6-840D-6448922804EC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9AF1D9CC-F532-430C-A1F8-7B0D4CB40D3C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46C1509B-7673-4C81-A7E5-023C5655ED93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FDAC53C9-AFD0-469F-80CF-70850F6977D8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797675B6-0697-4C4F-B4D5-F2ACEDBB1E6A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72F49E7B-701B-4781-A14D-74A1CE3B53D9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3A7FBA81-E1A9-48BC-AE74-D7576D22CE11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60609DB5-02BE-4D96-8970-DF8E796F1EDA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6C03426C-8D67-48F9-AF16-97A28F510E67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738BCF44-E353-4566-8FF6-15F0CA5F4CBB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8E7E2C66-EAAD-4006-800C-AFA1D9BAD352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B0508F21-E8B9-4307-AD02-20A5013F90CE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CE96A579-1226-45D5-A94A-55BD3EBCD6FA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7DDEFFD5-E0DD-4285-94FD-8CFDF27A6572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86652AC6-F3D2-4FCC-8082-8961161C8FF9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77A3AB7B-D457-454F-A1EE-BA0C0D96E123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E9607C02-E1C9-4342-B19B-ACD15EB3E03E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DB037CF3-8D91-4E0C-864D-87BBB091958C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1AB53C7A-BB6C-46C3-AE60-78F0302FA591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46325133-095B-4EDE-8598-3FDF96A0084F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1DF659A1-744F-4F72-8128-D1B49302D98F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7A3C860E-9643-4ACA-B0AE-5ED50AFEC74C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15646FBA-26D1-44F5-8779-7046CA90D250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3926665F-06AD-46ED-83E9-5B74A67B8BCE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72EAA52D-CCB9-441A-B27A-4F7281EEBBA1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A7C07986-18FF-48F3-8E5F-8789658FE69E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E95DC9E2-EA9D-4E54-BA45-3214AF1466E2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F645EAA9-3D19-4DBB-8DA9-419CA8A3DEC9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6D25B40A-04FE-411D-84A5-E879CA69D6A0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E5AB636B-C92A-4495-8EB7-FBABCD3EFE3C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CE5A95EB-84B0-47B9-A8A8-844C93598361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7B99286A-ABA0-45F1-BEA7-89EE5DC7B3A0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D35CDAD0-511D-4C61-94E2-F8D1CC04932F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912893D2-5E5F-4293-9E87-0BC54572CAA4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164C34A3-FF6D-4840-A70A-ECCC58ECAC7F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367F94F1-8E79-4D48-A824-EAE3EA5CE2E4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4D4B47B9-9CF3-4831-AAC0-B1621B6593C5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75F61FC0-00E4-4B5F-B6E5-349B80A893AB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9BF8CEF2-BD5A-4E3B-A947-5EAFD2910E73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504A2D17-C4A7-4EEC-B1FF-9DCAFC7FD66A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C598D272-0E05-4071-9CDA-E2DDF9E3A40A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7D4527BA-934B-4BD8-B295-1A75D518EDF2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1265DA12-A576-4EE9-834A-306912CC598A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36975F1D-612B-4062-9D58-EBE72BD65160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5A454768-6870-4390-AC9F-8F4AEF574EA8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7B14A079-D3F8-4EBB-8908-04A8696A757C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7B489531-ACCD-4973-A9E8-817EFAC7545F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9FBAA16B-1C55-4357-B968-49587D82C412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CCF5C3E6-255C-4273-8DC7-02B7CA582D8D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D2A3DE43-7A96-4E59-A21E-F80B3DAF1D55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5E9236B7-BF6E-4B39-9493-66133484F44C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3AD4A2F9-69E1-4E2C-B626-51C2A72F692C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52E85A4D-2256-4DE2-B78E-1732F482435E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FF6E5601-410D-453A-88B0-5E971DC21EF8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8DC70C75-D524-4F68-B29F-60630832C48D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13091369-DDE3-4382-BC55-FD947D0B5D1F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97B17EB5-72CE-4524-B6E3-173C85752CCE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274A4341-12D7-470C-87DE-0F58EF840DE7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32CCBD67-643A-41CF-B3C6-2FFE99ED02B9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8F534D07-3A01-4B16-A007-2B297969AAF5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9E722D5A-57F5-4FCD-B8B4-5CA669B93B9E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19CC5B02-457F-445C-B8A0-E3BB33BB36D5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BF2246AC-6F6C-459F-9499-0FB2EA67D4FF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94405410-FA68-4045-97FD-BCC24232F2B8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267D6FF8-4A6E-4C91-B5C9-D42B7C074429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E27A16EF-6387-4565-B495-740B9015F9EB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AA4B9DEB-51FF-4311-A16A-2B2287943F15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115D1233-2C62-4ED3-B395-4A356BA31218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09724D32-75A4-4C01-BDDE-F3E6DA74A411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5B176C98-D519-405D-895A-7C459E8C9EA6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5624023C-1CF0-4D13-9223-E3B8F1046476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620B1860-F75C-47D7-94FD-C929D1D47E4E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FE9B71AF-2CD9-4F2A-8519-CF0AE9E78D28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D7B536C5-6607-45C4-B4B1-E30716F18608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9A611FC5-FBAF-4DD3-AFD9-D9EC239D6D9E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9778EA88-1697-46F0-AC21-DF553FE926CA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3AB8D422-0B6F-4439-869D-ABD0B6305BD5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4C3F0169-7346-4C69-A68C-EB04714A812A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22B28F74-E0DA-451F-B101-293573220325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82E95868-0625-4414-B04A-F8E203A224CB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9AA5BEB6-5A7C-4AF6-BF51-E50592DDB97B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96442497-3591-4BAB-8D62-B2745911B320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C4D8FB2F-FF3D-4815-BFDE-B2D07E4B69C8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1522BA96-B869-4B2D-AF7D-09FBC3F978EC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A81595B6-8F54-469B-ADBA-9E861290834E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3E924A4E-57F1-433A-BFBF-3C7EAE2FF39B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6121E9BD-B37A-482C-9C97-987A73F88F55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F9D04404-A066-45B4-B309-85622953F494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D6A44F74-6845-4A32-85EE-E39F6838EF9F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2C6D1B9B-84FB-4F07-8F51-CC32BD300539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F45D314B-6631-42CD-9F0F-CB3C0A8010B7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D76358B2-8AE2-481C-AF52-CD24175E1C29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C4906432-82F6-4291-9696-DD912C3792FB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1EC2B6B7-2B80-4B24-96EB-020BD1271311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11B191FB-AAFD-4594-A91F-625586EC8789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31EBD417-F6DF-4707-8A98-BF97CD442E98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F7B0517C-B823-4BD6-97BB-FBC60A1BDEB9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96AB520A-7648-4E32-864C-418F3097AFB4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021B0BF1-7159-4D24-8D3E-3A7C04C7C297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1D069512-DC00-442C-81A3-AF1C415178CE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4EDB0C0C-8B4F-4270-987D-F0580EE48F9D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2745CBC5-3AC1-4DC4-850A-9F06A7034AA8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FA8B951D-5A7E-4B6E-BA4B-B7717F6189AF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EA66A009-9628-47E4-BACD-79F419E0D08A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70CBE0E7-66CC-4335-9D88-6C9364E1BED4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092CB04E-5403-44CC-A9AF-0FCA602EC2C8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191C3E38-6DED-4A01-A26C-79929FD5AA4E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ABF1E920-BA78-4E6F-8BD9-F5DEFB916C91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2645C06A-4A7E-4E17-880C-E79E1A40F153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10B3AB5E-9732-43C8-AFD0-6B26587AE61D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50C88B92-4456-454E-9D67-665F1A0B9B91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8A262EB3-57A2-4D89-9546-37625469A39B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02109D3A-7D87-4D5D-A0B0-1796510AF40D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E1752D00-1D07-451F-BD14-0BF43E85A02D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C0B1E6A7-AE38-49C7-85E1-6284BBF5309E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D5E9CF4C-3112-4DC8-AF82-C1805F093A91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892B59E7-C9CA-483F-8AD5-B9FAA0C68C75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363AA601-06BE-4FEB-AA44-21184348EE70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7B863EEF-6EBB-48F9-98F5-68C0F8A3C6D6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3B0EAF69-FEAD-45FC-97AD-AD880E39FAFC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CB62CDD6-BF9D-4607-B6D2-11764D51EF0A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C8CB7F31-E383-43F3-AA29-751AD9A13420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4E9C7921-7ABA-43BB-8233-BF9AF79F5A77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D917B8A8-489B-4571-B9F4-617F8E517B54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C8F77828-6877-4DFB-9B2A-D13A74BA4EDB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A4ED4BE3-E0BE-4D2A-8CAA-8D95EF4D6529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8C9E4399-1622-4AB3-808C-A8EEB3022A63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54DAD288-2A52-4B81-9D97-8A5996E8396D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182DDFEA-5D74-4409-9B49-62A338AD4192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B3667593-FA43-4360-AE81-7468A112CB37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4A76E0D8-8AD0-4554-BF1E-B37B59262871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B78C61DD-5FB7-4E47-B211-885F3AC93C62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AA2996EE-6291-40DE-8AAF-D9EE3C671A56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429ADE96-4964-45FC-B340-568BE5A54313}">
      <formula1>0</formula1>
      <formula2>10</formula2>
    </dataValidation>
    <dataValidation type="decimal" allowBlank="1" showInputMessage="1" showErrorMessage="1" errorTitle="Thông báo" error="Giá trị con điểm phải là số &gt;=0 và &lt;=10 " sqref="F50" xr:uid="{D259D157-50C9-4FD5-A12A-F6D6AA3C26B3}">
      <formula1>0</formula1>
      <formula2>10</formula2>
    </dataValidation>
    <dataValidation type="decimal" allowBlank="1" showInputMessage="1" showErrorMessage="1" errorTitle="Thông báo" error="Giá trị con điểm phải là số &gt;=0 và &lt;=10 " sqref="G50" xr:uid="{FE56A609-F631-4677-839E-092DCA9CAA92}">
      <formula1>0</formula1>
      <formula2>10</formula2>
    </dataValidation>
    <dataValidation type="decimal" allowBlank="1" showInputMessage="1" showErrorMessage="1" errorTitle="Thông báo" error="Giá trị con điểm phải là số &gt;=0 và &lt;=10 " sqref="H50" xr:uid="{D5AC8F62-0690-4DE8-9181-63AE179C299F}">
      <formula1>0</formula1>
      <formula2>10</formula2>
    </dataValidation>
    <dataValidation type="decimal" allowBlank="1" showInputMessage="1" showErrorMessage="1" errorTitle="Thông báo" error="Giá trị con điểm phải là số &gt;=0 và &lt;=10 " sqref="I50" xr:uid="{1A46B016-BB5C-4B79-BACD-EAAE0C17D100}">
      <formula1>0</formula1>
      <formula2>10</formula2>
    </dataValidation>
    <dataValidation type="decimal" allowBlank="1" showInputMessage="1" showErrorMessage="1" errorTitle="Thông báo" error="Giá trị con điểm phải là số &gt;=0 và &lt;=10 " sqref="J50" xr:uid="{0143D25A-EB9D-4AB8-B3BD-7EAE64EAF81B}">
      <formula1>0</formula1>
      <formula2>10</formula2>
    </dataValidation>
    <dataValidation type="decimal" allowBlank="1" showInputMessage="1" showErrorMessage="1" errorTitle="Thông báo" error="Giá trị con điểm phải là số &gt;=0 và &lt;=10 " sqref="K50" xr:uid="{3195D843-7DD9-412A-922F-DBBE6D07C2DD}">
      <formula1>0</formula1>
      <formula2>10</formula2>
    </dataValidation>
    <dataValidation type="decimal" allowBlank="1" showInputMessage="1" showErrorMessage="1" errorTitle="Thông báo" error="Giá trị con điểm phải là số &gt;=0 và &lt;=10 " sqref="F51" xr:uid="{79FA26BA-7159-4FF5-81E1-37D1567EC917}">
      <formula1>0</formula1>
      <formula2>10</formula2>
    </dataValidation>
    <dataValidation type="decimal" allowBlank="1" showInputMessage="1" showErrorMessage="1" errorTitle="Thông báo" error="Giá trị con điểm phải là số &gt;=0 và &lt;=10 " sqref="G51" xr:uid="{233F4D66-1407-425C-BE50-A6885D182064}">
      <formula1>0</formula1>
      <formula2>10</formula2>
    </dataValidation>
    <dataValidation type="decimal" allowBlank="1" showInputMessage="1" showErrorMessage="1" errorTitle="Thông báo" error="Giá trị con điểm phải là số &gt;=0 và &lt;=10 " sqref="H51" xr:uid="{C8CF6A07-5433-4808-A24E-76FB768128EA}">
      <formula1>0</formula1>
      <formula2>10</formula2>
    </dataValidation>
    <dataValidation type="decimal" allowBlank="1" showInputMessage="1" showErrorMessage="1" errorTitle="Thông báo" error="Giá trị con điểm phải là số &gt;=0 và &lt;=10 " sqref="I51" xr:uid="{2610A185-F381-4CE6-92AB-BC35D0B72C62}">
      <formula1>0</formula1>
      <formula2>10</formula2>
    </dataValidation>
    <dataValidation type="decimal" allowBlank="1" showInputMessage="1" showErrorMessage="1" errorTitle="Thông báo" error="Giá trị con điểm phải là số &gt;=0 và &lt;=10 " sqref="J51" xr:uid="{C5BB75C3-2DEF-4C26-94F2-03B00CBA7211}">
      <formula1>0</formula1>
      <formula2>10</formula2>
    </dataValidation>
    <dataValidation type="decimal" allowBlank="1" showInputMessage="1" showErrorMessage="1" errorTitle="Thông báo" error="Giá trị con điểm phải là số &gt;=0 và &lt;=10 " sqref="K51" xr:uid="{3AE3E339-181F-4A4E-B63F-C541CAFD0E36}">
      <formula1>0</formula1>
      <formula2>10</formula2>
    </dataValidation>
    <dataValidation type="decimal" allowBlank="1" showInputMessage="1" showErrorMessage="1" errorTitle="Thông báo" error="Giá trị con điểm phải là số &gt;=0 và &lt;=10 " sqref="F52" xr:uid="{C637E264-C5F1-4691-BE73-6DB966CE3964}">
      <formula1>0</formula1>
      <formula2>10</formula2>
    </dataValidation>
    <dataValidation type="decimal" allowBlank="1" showInputMessage="1" showErrorMessage="1" errorTitle="Thông báo" error="Giá trị con điểm phải là số &gt;=0 và &lt;=10 " sqref="G52" xr:uid="{5F35966B-E6F5-4F6A-ABFB-67059619C87E}">
      <formula1>0</formula1>
      <formula2>10</formula2>
    </dataValidation>
    <dataValidation type="decimal" allowBlank="1" showInputMessage="1" showErrorMessage="1" errorTitle="Thông báo" error="Giá trị con điểm phải là số &gt;=0 và &lt;=10 " sqref="H52" xr:uid="{255579DD-8E0B-4BB8-89CB-CD0E0B11EE7D}">
      <formula1>0</formula1>
      <formula2>10</formula2>
    </dataValidation>
    <dataValidation type="decimal" allowBlank="1" showInputMessage="1" showErrorMessage="1" errorTitle="Thông báo" error="Giá trị con điểm phải là số &gt;=0 và &lt;=10 " sqref="I52" xr:uid="{AFA70FE2-6367-4C63-AC8B-D749B9AF8610}">
      <formula1>0</formula1>
      <formula2>10</formula2>
    </dataValidation>
    <dataValidation type="decimal" allowBlank="1" showInputMessage="1" showErrorMessage="1" errorTitle="Thông báo" error="Giá trị con điểm phải là số &gt;=0 và &lt;=10 " sqref="J52" xr:uid="{EDD42BD6-D990-472A-BB06-0C2DDD98723F}">
      <formula1>0</formula1>
      <formula2>10</formula2>
    </dataValidation>
    <dataValidation type="decimal" allowBlank="1" showInputMessage="1" showErrorMessage="1" errorTitle="Thông báo" error="Giá trị con điểm phải là số &gt;=0 và &lt;=10 " sqref="K52" xr:uid="{7EB7AF91-0874-40CF-8572-C0491E102731}">
      <formula1>0</formula1>
      <formula2>10</formula2>
    </dataValidation>
    <dataValidation type="decimal" allowBlank="1" showInputMessage="1" showErrorMessage="1" errorTitle="Thông báo" error="Giá trị con điểm phải là số &gt;=0 và &lt;=10 " sqref="F53" xr:uid="{E0C29696-5C4C-443C-A3F5-70652256AF25}">
      <formula1>0</formula1>
      <formula2>10</formula2>
    </dataValidation>
    <dataValidation type="decimal" allowBlank="1" showInputMessage="1" showErrorMessage="1" errorTitle="Thông báo" error="Giá trị con điểm phải là số &gt;=0 và &lt;=10 " sqref="G53" xr:uid="{6B45DC08-FCC2-4023-8FB5-4EC729FB4D94}">
      <formula1>0</formula1>
      <formula2>10</formula2>
    </dataValidation>
    <dataValidation type="decimal" allowBlank="1" showInputMessage="1" showErrorMessage="1" errorTitle="Thông báo" error="Giá trị con điểm phải là số &gt;=0 và &lt;=10 " sqref="H53" xr:uid="{2017682A-50A9-465E-8F2A-F86FAF221EB3}">
      <formula1>0</formula1>
      <formula2>10</formula2>
    </dataValidation>
    <dataValidation type="decimal" allowBlank="1" showInputMessage="1" showErrorMessage="1" errorTitle="Thông báo" error="Giá trị con điểm phải là số &gt;=0 và &lt;=10 " sqref="I53" xr:uid="{D6C874AC-97C5-47A3-8CD8-56277152B66E}">
      <formula1>0</formula1>
      <formula2>10</formula2>
    </dataValidation>
    <dataValidation type="decimal" allowBlank="1" showInputMessage="1" showErrorMessage="1" errorTitle="Thông báo" error="Giá trị con điểm phải là số &gt;=0 và &lt;=10 " sqref="J53" xr:uid="{C84567A1-4FFD-4DB7-9C93-4DADED9463F4}">
      <formula1>0</formula1>
      <formula2>10</formula2>
    </dataValidation>
    <dataValidation type="decimal" allowBlank="1" showInputMessage="1" showErrorMessage="1" errorTitle="Thông báo" error="Giá trị con điểm phải là số &gt;=0 và &lt;=10 " sqref="K53" xr:uid="{4BF1D166-4F54-4D46-9EB7-EECCED597D33}">
      <formula1>0</formula1>
      <formula2>10</formula2>
    </dataValidation>
    <dataValidation type="decimal" allowBlank="1" showInputMessage="1" showErrorMessage="1" errorTitle="Thông báo" error="Giá trị con điểm phải là số &gt;=0 và &lt;=10 " sqref="F54" xr:uid="{D2B96F19-D256-4DA3-BEE4-04ABDAF34159}">
      <formula1>0</formula1>
      <formula2>10</formula2>
    </dataValidation>
    <dataValidation type="decimal" allowBlank="1" showInputMessage="1" showErrorMessage="1" errorTitle="Thông báo" error="Giá trị con điểm phải là số &gt;=0 và &lt;=10 " sqref="G54" xr:uid="{0E0A254D-1863-4CB9-9BA6-77504AA3AA63}">
      <formula1>0</formula1>
      <formula2>10</formula2>
    </dataValidation>
    <dataValidation type="decimal" allowBlank="1" showInputMessage="1" showErrorMessage="1" errorTitle="Thông báo" error="Giá trị con điểm phải là số &gt;=0 và &lt;=10 " sqref="H54" xr:uid="{D2ADA8F2-0426-4F75-B09A-E6667868B827}">
      <formula1>0</formula1>
      <formula2>10</formula2>
    </dataValidation>
    <dataValidation type="decimal" allowBlank="1" showInputMessage="1" showErrorMessage="1" errorTitle="Thông báo" error="Giá trị con điểm phải là số &gt;=0 và &lt;=10 " sqref="I54" xr:uid="{052BDDD1-19E5-49D3-BE23-D4EAEF793C5B}">
      <formula1>0</formula1>
      <formula2>10</formula2>
    </dataValidation>
    <dataValidation type="decimal" allowBlank="1" showInputMessage="1" showErrorMessage="1" errorTitle="Thông báo" error="Giá trị con điểm phải là số &gt;=0 và &lt;=10 " sqref="J54" xr:uid="{D30CC321-212A-4024-90F7-23AC6CFF0C7A}">
      <formula1>0</formula1>
      <formula2>10</formula2>
    </dataValidation>
    <dataValidation type="decimal" allowBlank="1" showInputMessage="1" showErrorMessage="1" errorTitle="Thông báo" error="Giá trị con điểm phải là số &gt;=0 và &lt;=10 " sqref="K54" xr:uid="{C5314BC7-F49B-46CD-999E-E702DF4BC96D}">
      <formula1>0</formula1>
      <formula2>10</formula2>
    </dataValidation>
    <dataValidation type="decimal" allowBlank="1" showInputMessage="1" showErrorMessage="1" errorTitle="Thông báo" error="Giá trị con điểm phải là số &gt;=0 và &lt;=10 " sqref="F55" xr:uid="{832F72A1-4E68-4612-8754-BB56B6FD17D5}">
      <formula1>0</formula1>
      <formula2>10</formula2>
    </dataValidation>
    <dataValidation type="decimal" allowBlank="1" showInputMessage="1" showErrorMessage="1" errorTitle="Thông báo" error="Giá trị con điểm phải là số &gt;=0 và &lt;=10 " sqref="G55" xr:uid="{40369DB8-7EC0-4052-80CC-17244519E740}">
      <formula1>0</formula1>
      <formula2>10</formula2>
    </dataValidation>
    <dataValidation type="decimal" allowBlank="1" showInputMessage="1" showErrorMessage="1" errorTitle="Thông báo" error="Giá trị con điểm phải là số &gt;=0 và &lt;=10 " sqref="H55" xr:uid="{F4EA0562-F72F-4FE6-8F5D-0B8EDD366BAA}">
      <formula1>0</formula1>
      <formula2>10</formula2>
    </dataValidation>
    <dataValidation type="decimal" allowBlank="1" showInputMessage="1" showErrorMessage="1" errorTitle="Thông báo" error="Giá trị con điểm phải là số &gt;=0 và &lt;=10 " sqref="I55" xr:uid="{E73D87E2-995E-4F6C-A8D9-1F1B6480B176}">
      <formula1>0</formula1>
      <formula2>10</formula2>
    </dataValidation>
    <dataValidation type="decimal" allowBlank="1" showInputMessage="1" showErrorMessage="1" errorTitle="Thông báo" error="Giá trị con điểm phải là số &gt;=0 và &lt;=10 " sqref="J55" xr:uid="{30019016-2F56-4634-AFC0-4A6C25ED2D0E}">
      <formula1>0</formula1>
      <formula2>10</formula2>
    </dataValidation>
    <dataValidation type="decimal" allowBlank="1" showInputMessage="1" showErrorMessage="1" errorTitle="Thông báo" error="Giá trị con điểm phải là số &gt;=0 và &lt;=10 " sqref="K55" xr:uid="{E977E34C-5735-44C8-8D85-DDC92ACECCD5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DC82-678F-4F58-AE70-1CD668BB6894}">
  <dimension ref="A1:AK65536"/>
  <sheetViews>
    <sheetView showRuler="0" zoomScaleNormal="100" workbookViewId="0">
      <selection activeCell="D52" sqref="D52:J56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360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2405174477</v>
      </c>
      <c r="C8" s="24" t="s">
        <v>361</v>
      </c>
      <c r="D8" s="22" t="s">
        <v>24</v>
      </c>
      <c r="E8" s="13" t="s">
        <v>362</v>
      </c>
      <c r="F8" s="13">
        <v>0</v>
      </c>
      <c r="G8" s="13">
        <v>8</v>
      </c>
      <c r="H8" s="13"/>
      <c r="I8" s="16"/>
      <c r="J8" s="16">
        <v>6</v>
      </c>
      <c r="K8" s="16">
        <v>5.5</v>
      </c>
      <c r="L8" s="18">
        <f t="shared" ref="L8:L50" si="0">IF((COUNT(F8:I8)+COUNT(J8:J8)*2+COUNT(K8:K8)*3),ROUND((SUM(F8:I8)+SUM(J8:J8)*2+SUM(K8:K8)*3)/(COUNT(F8:I8)+COUNT(J8:J8)*2+COUNT(K8:K8)*3),1),"")</f>
        <v>5.2</v>
      </c>
      <c r="M8" s="16" t="s">
        <v>274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2405176206</v>
      </c>
      <c r="C9" s="24" t="s">
        <v>363</v>
      </c>
      <c r="D9" s="22" t="s">
        <v>24</v>
      </c>
      <c r="E9" s="13" t="s">
        <v>184</v>
      </c>
      <c r="F9" s="13">
        <v>5</v>
      </c>
      <c r="G9" s="13">
        <v>8</v>
      </c>
      <c r="H9" s="13"/>
      <c r="I9" s="16"/>
      <c r="J9" s="16">
        <v>5</v>
      </c>
      <c r="K9" s="16">
        <v>7</v>
      </c>
      <c r="L9" s="18">
        <f t="shared" si="0"/>
        <v>6.3</v>
      </c>
      <c r="M9" s="16" t="s">
        <v>33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2405177138</v>
      </c>
      <c r="C10" s="24" t="s">
        <v>364</v>
      </c>
      <c r="D10" s="22" t="s">
        <v>365</v>
      </c>
      <c r="E10" s="13" t="s">
        <v>366</v>
      </c>
      <c r="F10" s="13">
        <v>7</v>
      </c>
      <c r="G10" s="13">
        <v>8.5</v>
      </c>
      <c r="H10" s="13"/>
      <c r="I10" s="16"/>
      <c r="J10" s="16">
        <v>5</v>
      </c>
      <c r="K10" s="16">
        <v>6</v>
      </c>
      <c r="L10" s="18">
        <f t="shared" si="0"/>
        <v>6.2</v>
      </c>
      <c r="M10" s="16" t="s">
        <v>42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2405178434</v>
      </c>
      <c r="C11" s="24" t="s">
        <v>367</v>
      </c>
      <c r="D11" s="22" t="s">
        <v>284</v>
      </c>
      <c r="E11" s="13" t="s">
        <v>368</v>
      </c>
      <c r="F11" s="13">
        <v>8</v>
      </c>
      <c r="G11" s="13">
        <v>10</v>
      </c>
      <c r="H11" s="13"/>
      <c r="I11" s="16"/>
      <c r="J11" s="16">
        <v>6</v>
      </c>
      <c r="K11" s="16">
        <v>6</v>
      </c>
      <c r="L11" s="18">
        <f t="shared" si="0"/>
        <v>6.9</v>
      </c>
      <c r="M11" s="16" t="s">
        <v>22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2405182040</v>
      </c>
      <c r="C12" s="25" t="s">
        <v>369</v>
      </c>
      <c r="D12" s="23" t="s">
        <v>370</v>
      </c>
      <c r="E12" s="15" t="s">
        <v>371</v>
      </c>
      <c r="F12" s="15">
        <v>7</v>
      </c>
      <c r="G12" s="15">
        <v>10</v>
      </c>
      <c r="H12" s="15"/>
      <c r="I12" s="17"/>
      <c r="J12" s="17">
        <v>6.5</v>
      </c>
      <c r="K12" s="17">
        <v>7</v>
      </c>
      <c r="L12" s="19">
        <f t="shared" si="0"/>
        <v>7.3</v>
      </c>
      <c r="M12" s="17" t="s">
        <v>42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2405179518</v>
      </c>
      <c r="C13" s="24" t="s">
        <v>372</v>
      </c>
      <c r="D13" s="22" t="s">
        <v>373</v>
      </c>
      <c r="E13" s="13" t="s">
        <v>96</v>
      </c>
      <c r="F13" s="13">
        <v>6</v>
      </c>
      <c r="G13" s="13">
        <v>6.5</v>
      </c>
      <c r="H13" s="13"/>
      <c r="I13" s="16"/>
      <c r="J13" s="16">
        <v>4</v>
      </c>
      <c r="K13" s="16">
        <v>4.5</v>
      </c>
      <c r="L13" s="18">
        <f t="shared" si="0"/>
        <v>4.9000000000000004</v>
      </c>
      <c r="M13" s="16" t="s">
        <v>33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2405181572</v>
      </c>
      <c r="C14" s="24" t="s">
        <v>374</v>
      </c>
      <c r="D14" s="22" t="s">
        <v>375</v>
      </c>
      <c r="E14" s="13" t="s">
        <v>376</v>
      </c>
      <c r="F14" s="13">
        <v>8</v>
      </c>
      <c r="G14" s="13">
        <v>10</v>
      </c>
      <c r="H14" s="13"/>
      <c r="I14" s="16"/>
      <c r="J14" s="16">
        <v>6.5</v>
      </c>
      <c r="K14" s="16">
        <v>4.5</v>
      </c>
      <c r="L14" s="18">
        <f t="shared" si="0"/>
        <v>6.4</v>
      </c>
      <c r="M14" s="16" t="s">
        <v>22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2405182544</v>
      </c>
      <c r="C15" s="24" t="s">
        <v>377</v>
      </c>
      <c r="D15" s="22" t="s">
        <v>50</v>
      </c>
      <c r="E15" s="13" t="s">
        <v>378</v>
      </c>
      <c r="F15" s="13">
        <v>9</v>
      </c>
      <c r="G15" s="13">
        <v>10</v>
      </c>
      <c r="H15" s="13"/>
      <c r="I15" s="16"/>
      <c r="J15" s="16">
        <v>8</v>
      </c>
      <c r="K15" s="16">
        <v>8</v>
      </c>
      <c r="L15" s="18">
        <f t="shared" si="0"/>
        <v>8.4</v>
      </c>
      <c r="M15" s="16" t="s">
        <v>22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2405184335</v>
      </c>
      <c r="C16" s="24" t="s">
        <v>379</v>
      </c>
      <c r="D16" s="22" t="s">
        <v>294</v>
      </c>
      <c r="E16" s="13" t="s">
        <v>160</v>
      </c>
      <c r="F16" s="13">
        <v>9</v>
      </c>
      <c r="G16" s="13">
        <v>8.5</v>
      </c>
      <c r="H16" s="13"/>
      <c r="I16" s="16"/>
      <c r="J16" s="16">
        <v>5</v>
      </c>
      <c r="K16" s="16">
        <v>7.5</v>
      </c>
      <c r="L16" s="18">
        <f t="shared" si="0"/>
        <v>7.1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2405185596</v>
      </c>
      <c r="C17" s="25" t="s">
        <v>380</v>
      </c>
      <c r="D17" s="23" t="s">
        <v>294</v>
      </c>
      <c r="E17" s="15" t="s">
        <v>160</v>
      </c>
      <c r="F17" s="15">
        <v>9</v>
      </c>
      <c r="G17" s="15">
        <v>9.5</v>
      </c>
      <c r="H17" s="15"/>
      <c r="I17" s="17"/>
      <c r="J17" s="17">
        <v>6</v>
      </c>
      <c r="K17" s="17">
        <v>5</v>
      </c>
      <c r="L17" s="19">
        <f t="shared" si="0"/>
        <v>6.5</v>
      </c>
      <c r="M17" s="17" t="s">
        <v>22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2405205617</v>
      </c>
      <c r="C18" s="24" t="s">
        <v>381</v>
      </c>
      <c r="D18" s="22" t="s">
        <v>294</v>
      </c>
      <c r="E18" s="13" t="s">
        <v>335</v>
      </c>
      <c r="F18" s="13">
        <v>10</v>
      </c>
      <c r="G18" s="13">
        <v>10</v>
      </c>
      <c r="H18" s="13"/>
      <c r="I18" s="16"/>
      <c r="J18" s="16">
        <v>8.5</v>
      </c>
      <c r="K18" s="16">
        <v>6.5</v>
      </c>
      <c r="L18" s="18">
        <f t="shared" si="0"/>
        <v>8.1</v>
      </c>
      <c r="M18" s="16" t="s">
        <v>22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2405206152</v>
      </c>
      <c r="C19" s="24" t="s">
        <v>382</v>
      </c>
      <c r="D19" s="22" t="s">
        <v>59</v>
      </c>
      <c r="E19" s="13" t="s">
        <v>383</v>
      </c>
      <c r="F19" s="13">
        <v>8</v>
      </c>
      <c r="G19" s="13">
        <v>7</v>
      </c>
      <c r="H19" s="13"/>
      <c r="I19" s="16"/>
      <c r="J19" s="16">
        <v>6.5</v>
      </c>
      <c r="K19" s="16">
        <v>6</v>
      </c>
      <c r="L19" s="18">
        <f t="shared" si="0"/>
        <v>6.6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2306397574</v>
      </c>
      <c r="C20" s="24" t="s">
        <v>276</v>
      </c>
      <c r="D20" s="22" t="s">
        <v>302</v>
      </c>
      <c r="E20" s="13" t="s">
        <v>384</v>
      </c>
      <c r="F20" s="13">
        <v>6</v>
      </c>
      <c r="G20" s="13">
        <v>10</v>
      </c>
      <c r="H20" s="13"/>
      <c r="I20" s="16"/>
      <c r="J20" s="16">
        <v>5</v>
      </c>
      <c r="K20" s="16">
        <v>6.5</v>
      </c>
      <c r="L20" s="18">
        <f t="shared" si="0"/>
        <v>6.5</v>
      </c>
      <c r="M20" s="16" t="s">
        <v>33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2405206424</v>
      </c>
      <c r="C21" s="24" t="s">
        <v>385</v>
      </c>
      <c r="D21" s="22" t="s">
        <v>194</v>
      </c>
      <c r="E21" s="13" t="s">
        <v>386</v>
      </c>
      <c r="F21" s="13">
        <v>6</v>
      </c>
      <c r="G21" s="13">
        <v>6.5</v>
      </c>
      <c r="H21" s="13"/>
      <c r="I21" s="16"/>
      <c r="J21" s="16">
        <v>6.5</v>
      </c>
      <c r="K21" s="16">
        <v>8</v>
      </c>
      <c r="L21" s="18">
        <f t="shared" si="0"/>
        <v>7.1</v>
      </c>
      <c r="M21" s="16" t="s">
        <v>33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2405207085</v>
      </c>
      <c r="C22" s="25" t="s">
        <v>387</v>
      </c>
      <c r="D22" s="23" t="s">
        <v>388</v>
      </c>
      <c r="E22" s="15" t="s">
        <v>389</v>
      </c>
      <c r="F22" s="15">
        <v>7</v>
      </c>
      <c r="G22" s="15">
        <v>7.5</v>
      </c>
      <c r="H22" s="15"/>
      <c r="I22" s="17"/>
      <c r="J22" s="17">
        <v>8</v>
      </c>
      <c r="K22" s="17">
        <v>7</v>
      </c>
      <c r="L22" s="19">
        <f t="shared" si="0"/>
        <v>7.4</v>
      </c>
      <c r="M22" s="17" t="s">
        <v>42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2405207565</v>
      </c>
      <c r="C23" s="24" t="s">
        <v>390</v>
      </c>
      <c r="D23" s="22" t="s">
        <v>69</v>
      </c>
      <c r="E23" s="13" t="s">
        <v>391</v>
      </c>
      <c r="F23" s="13">
        <v>7</v>
      </c>
      <c r="G23" s="13">
        <v>5.5</v>
      </c>
      <c r="H23" s="13"/>
      <c r="I23" s="16"/>
      <c r="J23" s="16">
        <v>4</v>
      </c>
      <c r="K23" s="16">
        <v>3.5</v>
      </c>
      <c r="L23" s="18">
        <f t="shared" si="0"/>
        <v>4.4000000000000004</v>
      </c>
      <c r="M23" s="16" t="s">
        <v>42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2405211129</v>
      </c>
      <c r="C24" s="24" t="s">
        <v>392</v>
      </c>
      <c r="D24" s="22" t="s">
        <v>305</v>
      </c>
      <c r="E24" s="13" t="s">
        <v>134</v>
      </c>
      <c r="F24" s="13">
        <v>9</v>
      </c>
      <c r="G24" s="13">
        <v>8.5</v>
      </c>
      <c r="H24" s="13"/>
      <c r="I24" s="16"/>
      <c r="J24" s="16">
        <v>6</v>
      </c>
      <c r="K24" s="16">
        <v>6.5</v>
      </c>
      <c r="L24" s="18">
        <f t="shared" si="0"/>
        <v>7</v>
      </c>
      <c r="M24" s="16" t="s">
        <v>22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2405211846</v>
      </c>
      <c r="C25" s="24" t="s">
        <v>393</v>
      </c>
      <c r="D25" s="22" t="s">
        <v>72</v>
      </c>
      <c r="E25" s="13" t="s">
        <v>21</v>
      </c>
      <c r="F25" s="13">
        <v>9</v>
      </c>
      <c r="G25" s="13">
        <v>8</v>
      </c>
      <c r="H25" s="13"/>
      <c r="I25" s="16"/>
      <c r="J25" s="16">
        <v>5</v>
      </c>
      <c r="K25" s="16">
        <v>2.5</v>
      </c>
      <c r="L25" s="18">
        <f t="shared" si="0"/>
        <v>4.9000000000000004</v>
      </c>
      <c r="M25" s="16" t="s">
        <v>22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2405213578</v>
      </c>
      <c r="C26" s="24" t="s">
        <v>394</v>
      </c>
      <c r="D26" s="22" t="s">
        <v>395</v>
      </c>
      <c r="E26" s="13" t="s">
        <v>204</v>
      </c>
      <c r="F26" s="13">
        <v>9</v>
      </c>
      <c r="G26" s="13">
        <v>9</v>
      </c>
      <c r="H26" s="13"/>
      <c r="I26" s="16"/>
      <c r="J26" s="16">
        <v>9.5</v>
      </c>
      <c r="K26" s="16">
        <v>7</v>
      </c>
      <c r="L26" s="18">
        <f t="shared" si="0"/>
        <v>8.3000000000000007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2405214887</v>
      </c>
      <c r="C27" s="25" t="s">
        <v>396</v>
      </c>
      <c r="D27" s="23" t="s">
        <v>84</v>
      </c>
      <c r="E27" s="15" t="s">
        <v>397</v>
      </c>
      <c r="F27" s="15">
        <v>8</v>
      </c>
      <c r="G27" s="15">
        <v>9.5</v>
      </c>
      <c r="H27" s="15"/>
      <c r="I27" s="17"/>
      <c r="J27" s="17">
        <v>5.5</v>
      </c>
      <c r="K27" s="17">
        <v>6.5</v>
      </c>
      <c r="L27" s="19">
        <f t="shared" si="0"/>
        <v>6.9</v>
      </c>
      <c r="M27" s="17" t="s">
        <v>22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2405217148</v>
      </c>
      <c r="C28" s="24" t="s">
        <v>398</v>
      </c>
      <c r="D28" s="22" t="s">
        <v>84</v>
      </c>
      <c r="E28" s="13" t="s">
        <v>399</v>
      </c>
      <c r="F28" s="13">
        <v>9</v>
      </c>
      <c r="G28" s="13">
        <v>8.5</v>
      </c>
      <c r="H28" s="13"/>
      <c r="I28" s="16"/>
      <c r="J28" s="16">
        <v>5</v>
      </c>
      <c r="K28" s="16">
        <v>6.5</v>
      </c>
      <c r="L28" s="18">
        <f t="shared" si="0"/>
        <v>6.7</v>
      </c>
      <c r="M28" s="16" t="s">
        <v>22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2405219950</v>
      </c>
      <c r="C29" s="24" t="s">
        <v>400</v>
      </c>
      <c r="D29" s="22" t="s">
        <v>87</v>
      </c>
      <c r="E29" s="13" t="s">
        <v>401</v>
      </c>
      <c r="F29" s="13">
        <v>9</v>
      </c>
      <c r="G29" s="13">
        <v>10</v>
      </c>
      <c r="H29" s="13"/>
      <c r="I29" s="16"/>
      <c r="J29" s="16">
        <v>7.5</v>
      </c>
      <c r="K29" s="16">
        <v>6.5</v>
      </c>
      <c r="L29" s="18">
        <f t="shared" si="0"/>
        <v>7.6</v>
      </c>
      <c r="M29" s="16" t="s">
        <v>22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2405220509</v>
      </c>
      <c r="C30" s="24" t="s">
        <v>402</v>
      </c>
      <c r="D30" s="22" t="s">
        <v>90</v>
      </c>
      <c r="E30" s="13" t="s">
        <v>403</v>
      </c>
      <c r="F30" s="13">
        <v>6</v>
      </c>
      <c r="G30" s="13">
        <v>4.5</v>
      </c>
      <c r="H30" s="13"/>
      <c r="I30" s="16"/>
      <c r="J30" s="16">
        <v>5.5</v>
      </c>
      <c r="K30" s="16">
        <v>4.5</v>
      </c>
      <c r="L30" s="18">
        <f t="shared" si="0"/>
        <v>5</v>
      </c>
      <c r="M30" s="16" t="s">
        <v>33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2405223691</v>
      </c>
      <c r="C31" s="24" t="s">
        <v>404</v>
      </c>
      <c r="D31" s="22" t="s">
        <v>103</v>
      </c>
      <c r="E31" s="13" t="s">
        <v>405</v>
      </c>
      <c r="F31" s="13">
        <v>6</v>
      </c>
      <c r="G31" s="13">
        <v>0</v>
      </c>
      <c r="H31" s="13"/>
      <c r="I31" s="16"/>
      <c r="J31" s="16">
        <v>7</v>
      </c>
      <c r="K31" s="16">
        <v>0</v>
      </c>
      <c r="L31" s="18">
        <f t="shared" si="0"/>
        <v>2.9</v>
      </c>
      <c r="M31" s="16" t="s">
        <v>33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2405224944</v>
      </c>
      <c r="C32" s="25" t="s">
        <v>406</v>
      </c>
      <c r="D32" s="23" t="s">
        <v>103</v>
      </c>
      <c r="E32" s="15" t="s">
        <v>353</v>
      </c>
      <c r="F32" s="15">
        <v>6</v>
      </c>
      <c r="G32" s="15">
        <v>10</v>
      </c>
      <c r="H32" s="15"/>
      <c r="I32" s="17"/>
      <c r="J32" s="17">
        <v>5</v>
      </c>
      <c r="K32" s="17">
        <v>4.5</v>
      </c>
      <c r="L32" s="19">
        <f t="shared" si="0"/>
        <v>5.6</v>
      </c>
      <c r="M32" s="17" t="s">
        <v>33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2405225577</v>
      </c>
      <c r="C33" s="24" t="s">
        <v>407</v>
      </c>
      <c r="D33" s="22" t="s">
        <v>103</v>
      </c>
      <c r="E33" s="13" t="s">
        <v>408</v>
      </c>
      <c r="F33" s="13">
        <v>6</v>
      </c>
      <c r="G33" s="13">
        <v>10</v>
      </c>
      <c r="H33" s="13"/>
      <c r="I33" s="16"/>
      <c r="J33" s="16">
        <v>6</v>
      </c>
      <c r="K33" s="16">
        <v>6.5</v>
      </c>
      <c r="L33" s="18">
        <f t="shared" si="0"/>
        <v>6.8</v>
      </c>
      <c r="M33" s="16" t="s">
        <v>33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2405226133</v>
      </c>
      <c r="C34" s="24" t="s">
        <v>409</v>
      </c>
      <c r="D34" s="22" t="s">
        <v>410</v>
      </c>
      <c r="E34" s="13" t="s">
        <v>411</v>
      </c>
      <c r="F34" s="13">
        <v>5</v>
      </c>
      <c r="G34" s="13">
        <v>4.5</v>
      </c>
      <c r="H34" s="13"/>
      <c r="I34" s="16"/>
      <c r="J34" s="16">
        <v>4</v>
      </c>
      <c r="K34" s="16">
        <v>4.5</v>
      </c>
      <c r="L34" s="18">
        <f t="shared" si="0"/>
        <v>4.4000000000000004</v>
      </c>
      <c r="M34" s="16" t="s">
        <v>33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2405226798</v>
      </c>
      <c r="C35" s="24" t="s">
        <v>412</v>
      </c>
      <c r="D35" s="22" t="s">
        <v>111</v>
      </c>
      <c r="E35" s="13" t="s">
        <v>413</v>
      </c>
      <c r="F35" s="13">
        <v>7</v>
      </c>
      <c r="G35" s="13">
        <v>9.5</v>
      </c>
      <c r="H35" s="13"/>
      <c r="I35" s="16"/>
      <c r="J35" s="16">
        <v>5</v>
      </c>
      <c r="K35" s="16">
        <v>7</v>
      </c>
      <c r="L35" s="18">
        <f t="shared" si="0"/>
        <v>6.8</v>
      </c>
      <c r="M35" s="16" t="s">
        <v>42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2405227838</v>
      </c>
      <c r="C36" s="24" t="s">
        <v>414</v>
      </c>
      <c r="D36" s="22" t="s">
        <v>120</v>
      </c>
      <c r="E36" s="13" t="s">
        <v>184</v>
      </c>
      <c r="F36" s="13">
        <v>9</v>
      </c>
      <c r="G36" s="13">
        <v>9.5</v>
      </c>
      <c r="H36" s="13"/>
      <c r="I36" s="16"/>
      <c r="J36" s="16">
        <v>7</v>
      </c>
      <c r="K36" s="16">
        <v>7</v>
      </c>
      <c r="L36" s="18">
        <f t="shared" si="0"/>
        <v>7.6</v>
      </c>
      <c r="M36" s="16" t="s">
        <v>22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2405229915</v>
      </c>
      <c r="C37" s="25" t="s">
        <v>415</v>
      </c>
      <c r="D37" s="23" t="s">
        <v>416</v>
      </c>
      <c r="E37" s="15" t="s">
        <v>417</v>
      </c>
      <c r="F37" s="15">
        <v>7</v>
      </c>
      <c r="G37" s="15">
        <v>8.5</v>
      </c>
      <c r="H37" s="15"/>
      <c r="I37" s="17"/>
      <c r="J37" s="17">
        <v>7</v>
      </c>
      <c r="K37" s="17">
        <v>8.5</v>
      </c>
      <c r="L37" s="19">
        <f t="shared" si="0"/>
        <v>7.9</v>
      </c>
      <c r="M37" s="17" t="s">
        <v>42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2405230913</v>
      </c>
      <c r="C38" s="24" t="s">
        <v>418</v>
      </c>
      <c r="D38" s="22" t="s">
        <v>419</v>
      </c>
      <c r="E38" s="13" t="s">
        <v>420</v>
      </c>
      <c r="F38" s="13">
        <v>7</v>
      </c>
      <c r="G38" s="13">
        <v>9</v>
      </c>
      <c r="H38" s="13"/>
      <c r="I38" s="16"/>
      <c r="J38" s="16">
        <v>8.5</v>
      </c>
      <c r="K38" s="16">
        <v>9.5</v>
      </c>
      <c r="L38" s="18">
        <f t="shared" si="0"/>
        <v>8.8000000000000007</v>
      </c>
      <c r="M38" s="16" t="s">
        <v>42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2405231428</v>
      </c>
      <c r="C39" s="24" t="s">
        <v>421</v>
      </c>
      <c r="D39" s="22" t="s">
        <v>230</v>
      </c>
      <c r="E39" s="13" t="s">
        <v>422</v>
      </c>
      <c r="F39" s="13">
        <v>6</v>
      </c>
      <c r="G39" s="13">
        <v>8.5</v>
      </c>
      <c r="H39" s="13"/>
      <c r="I39" s="16"/>
      <c r="J39" s="16">
        <v>5.5</v>
      </c>
      <c r="K39" s="16">
        <v>5</v>
      </c>
      <c r="L39" s="18">
        <f t="shared" si="0"/>
        <v>5.8</v>
      </c>
      <c r="M39" s="16" t="s">
        <v>33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2405233310</v>
      </c>
      <c r="C40" s="24" t="s">
        <v>423</v>
      </c>
      <c r="D40" s="22" t="s">
        <v>424</v>
      </c>
      <c r="E40" s="13" t="s">
        <v>425</v>
      </c>
      <c r="F40" s="13">
        <v>8</v>
      </c>
      <c r="G40" s="13">
        <v>9.5</v>
      </c>
      <c r="H40" s="13"/>
      <c r="I40" s="16"/>
      <c r="J40" s="16">
        <v>5</v>
      </c>
      <c r="K40" s="16">
        <v>5</v>
      </c>
      <c r="L40" s="18">
        <f t="shared" si="0"/>
        <v>6.1</v>
      </c>
      <c r="M40" s="16" t="s">
        <v>22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2405901744</v>
      </c>
      <c r="C41" s="24" t="s">
        <v>426</v>
      </c>
      <c r="D41" s="22" t="s">
        <v>427</v>
      </c>
      <c r="E41" s="13" t="s">
        <v>428</v>
      </c>
      <c r="F41" s="13">
        <v>7</v>
      </c>
      <c r="G41" s="13">
        <v>7.5</v>
      </c>
      <c r="H41" s="13"/>
      <c r="I41" s="16"/>
      <c r="J41" s="16">
        <v>4</v>
      </c>
      <c r="K41" s="16">
        <v>4.5</v>
      </c>
      <c r="L41" s="18">
        <f t="shared" si="0"/>
        <v>5.0999999999999996</v>
      </c>
      <c r="M41" s="16" t="s">
        <v>42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2405233643</v>
      </c>
      <c r="C42" s="25" t="s">
        <v>429</v>
      </c>
      <c r="D42" s="23" t="s">
        <v>430</v>
      </c>
      <c r="E42" s="15" t="s">
        <v>431</v>
      </c>
      <c r="F42" s="15">
        <v>6</v>
      </c>
      <c r="G42" s="15">
        <v>8</v>
      </c>
      <c r="H42" s="15"/>
      <c r="I42" s="17"/>
      <c r="J42" s="17">
        <v>7</v>
      </c>
      <c r="K42" s="17">
        <v>7.5</v>
      </c>
      <c r="L42" s="19">
        <f t="shared" si="0"/>
        <v>7.2</v>
      </c>
      <c r="M42" s="17" t="s">
        <v>33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2405234030</v>
      </c>
      <c r="C43" s="24" t="s">
        <v>432</v>
      </c>
      <c r="D43" s="22" t="s">
        <v>342</v>
      </c>
      <c r="E43" s="13" t="s">
        <v>433</v>
      </c>
      <c r="F43" s="13">
        <v>8</v>
      </c>
      <c r="G43" s="13">
        <v>10</v>
      </c>
      <c r="H43" s="13"/>
      <c r="I43" s="16"/>
      <c r="J43" s="16">
        <v>7</v>
      </c>
      <c r="K43" s="16">
        <v>8</v>
      </c>
      <c r="L43" s="18">
        <f t="shared" si="0"/>
        <v>8</v>
      </c>
      <c r="M43" s="16" t="s">
        <v>22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2405234587</v>
      </c>
      <c r="C44" s="24" t="s">
        <v>434</v>
      </c>
      <c r="D44" s="22" t="s">
        <v>435</v>
      </c>
      <c r="E44" s="13" t="s">
        <v>436</v>
      </c>
      <c r="F44" s="13">
        <v>0</v>
      </c>
      <c r="G44" s="13">
        <v>9.5</v>
      </c>
      <c r="H44" s="13"/>
      <c r="I44" s="16"/>
      <c r="J44" s="16">
        <v>6</v>
      </c>
      <c r="K44" s="16">
        <v>5</v>
      </c>
      <c r="L44" s="18">
        <f t="shared" si="0"/>
        <v>5.2</v>
      </c>
      <c r="M44" s="16" t="s">
        <v>274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2405234806</v>
      </c>
      <c r="C45" s="24" t="s">
        <v>61</v>
      </c>
      <c r="D45" s="22" t="s">
        <v>128</v>
      </c>
      <c r="E45" s="13" t="s">
        <v>437</v>
      </c>
      <c r="F45" s="13">
        <v>7</v>
      </c>
      <c r="G45" s="13">
        <v>8</v>
      </c>
      <c r="H45" s="13"/>
      <c r="I45" s="16"/>
      <c r="J45" s="16">
        <v>7</v>
      </c>
      <c r="K45" s="16">
        <v>4</v>
      </c>
      <c r="L45" s="18">
        <f t="shared" si="0"/>
        <v>5.9</v>
      </c>
      <c r="M45" s="16" t="s">
        <v>42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2404920175</v>
      </c>
      <c r="C46" s="24" t="s">
        <v>438</v>
      </c>
      <c r="D46" s="22" t="s">
        <v>439</v>
      </c>
      <c r="E46" s="13" t="s">
        <v>440</v>
      </c>
      <c r="F46" s="13">
        <v>8</v>
      </c>
      <c r="G46" s="13">
        <v>10</v>
      </c>
      <c r="H46" s="13"/>
      <c r="I46" s="16"/>
      <c r="J46" s="16">
        <v>6</v>
      </c>
      <c r="K46" s="16">
        <v>4.5</v>
      </c>
      <c r="L46" s="18">
        <f t="shared" si="0"/>
        <v>6.2</v>
      </c>
      <c r="M46" s="16" t="s">
        <v>42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2405235250</v>
      </c>
      <c r="C47" s="25" t="s">
        <v>441</v>
      </c>
      <c r="D47" s="23" t="s">
        <v>131</v>
      </c>
      <c r="E47" s="15" t="s">
        <v>442</v>
      </c>
      <c r="F47" s="15">
        <v>7</v>
      </c>
      <c r="G47" s="15">
        <v>8.5</v>
      </c>
      <c r="H47" s="15"/>
      <c r="I47" s="17"/>
      <c r="J47" s="17">
        <v>7</v>
      </c>
      <c r="K47" s="17">
        <v>6.5</v>
      </c>
      <c r="L47" s="19">
        <f t="shared" si="0"/>
        <v>7</v>
      </c>
      <c r="M47" s="17" t="s">
        <v>42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2405235539</v>
      </c>
      <c r="C48" s="24" t="s">
        <v>61</v>
      </c>
      <c r="D48" s="22" t="s">
        <v>349</v>
      </c>
      <c r="E48" s="13" t="s">
        <v>443</v>
      </c>
      <c r="F48" s="13">
        <v>7</v>
      </c>
      <c r="G48" s="13">
        <v>9.5</v>
      </c>
      <c r="H48" s="13"/>
      <c r="I48" s="16"/>
      <c r="J48" s="16">
        <v>6.5</v>
      </c>
      <c r="K48" s="16">
        <v>7.5</v>
      </c>
      <c r="L48" s="18">
        <f t="shared" si="0"/>
        <v>7.4</v>
      </c>
      <c r="M48" s="16" t="s">
        <v>42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0">
        <v>42</v>
      </c>
      <c r="B49" s="13">
        <v>2405235780</v>
      </c>
      <c r="C49" s="24" t="s">
        <v>444</v>
      </c>
      <c r="D49" s="22" t="s">
        <v>258</v>
      </c>
      <c r="E49" s="13" t="s">
        <v>445</v>
      </c>
      <c r="F49" s="13">
        <v>8</v>
      </c>
      <c r="G49" s="13">
        <v>8.5</v>
      </c>
      <c r="H49" s="13"/>
      <c r="I49" s="16"/>
      <c r="J49" s="16">
        <v>4</v>
      </c>
      <c r="K49" s="16">
        <v>2</v>
      </c>
      <c r="L49" s="18">
        <f t="shared" si="0"/>
        <v>4.4000000000000004</v>
      </c>
      <c r="M49" s="16" t="s">
        <v>22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21">
        <v>43</v>
      </c>
      <c r="B50" s="15">
        <v>2404921729</v>
      </c>
      <c r="C50" s="25" t="s">
        <v>446</v>
      </c>
      <c r="D50" s="23" t="s">
        <v>139</v>
      </c>
      <c r="E50" s="15" t="s">
        <v>172</v>
      </c>
      <c r="F50" s="15">
        <v>10</v>
      </c>
      <c r="G50" s="15">
        <v>9.5</v>
      </c>
      <c r="H50" s="15"/>
      <c r="I50" s="17"/>
      <c r="J50" s="17">
        <v>5</v>
      </c>
      <c r="K50" s="17">
        <v>8.5</v>
      </c>
      <c r="L50" s="19">
        <f t="shared" si="0"/>
        <v>7.9</v>
      </c>
      <c r="M50" s="17" t="s">
        <v>22</v>
      </c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39" t="s">
        <v>141</v>
      </c>
      <c r="B51" s="40"/>
      <c r="C51" s="41"/>
      <c r="D51" s="41"/>
      <c r="E51" s="41"/>
      <c r="F51" s="40"/>
      <c r="G51" s="40"/>
      <c r="H51" s="40"/>
      <c r="I51" s="40"/>
      <c r="J51" s="42"/>
      <c r="K51" s="8"/>
      <c r="L51" s="9"/>
      <c r="M51" s="10"/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2.75" customHeight="1" x14ac:dyDescent="0.35">
      <c r="A52" s="43"/>
      <c r="B52" s="33"/>
      <c r="C52" s="44"/>
      <c r="D52" s="45"/>
      <c r="E52" s="45"/>
      <c r="F52" s="46"/>
      <c r="G52" s="46"/>
      <c r="H52" s="46"/>
      <c r="I52" s="46"/>
      <c r="J52" s="47"/>
    </row>
    <row r="53" spans="1:37" ht="12.75" customHeight="1" x14ac:dyDescent="0.35">
      <c r="A53" s="48" t="s">
        <v>142</v>
      </c>
      <c r="B53" s="33"/>
      <c r="C53" s="44"/>
      <c r="D53" s="45" t="s">
        <v>143</v>
      </c>
      <c r="E53" s="45"/>
      <c r="F53" s="46" t="str">
        <f>TEXT(COUNTIF(L8:L50,"&gt;="&amp;Q53),"#0")</f>
        <v>5</v>
      </c>
      <c r="G53" s="46"/>
      <c r="H53" s="31" t="s">
        <v>144</v>
      </c>
      <c r="I53" s="46" t="str">
        <f>ROUND(F53/IF(COUNTIF(L8:L50,"&gt;=0")=0,1,COUNTIF(L8:L50,"&gt;=0")),4)*100&amp;"%"</f>
        <v>11.63%</v>
      </c>
      <c r="J53" s="47"/>
      <c r="Q53" s="26">
        <v>7.95</v>
      </c>
    </row>
    <row r="54" spans="1:37" ht="12.75" customHeight="1" x14ac:dyDescent="0.35">
      <c r="A54" s="43" t="s">
        <v>145</v>
      </c>
      <c r="B54" s="33"/>
      <c r="C54" s="44"/>
      <c r="D54" s="45" t="s">
        <v>146</v>
      </c>
      <c r="E54" s="45"/>
      <c r="F54" s="46" t="str">
        <f>TEXT(COUNTIF(L8:L50,"&gt;="&amp;Q54)-F53,"#0")</f>
        <v>20</v>
      </c>
      <c r="G54" s="46"/>
      <c r="H54" s="31" t="s">
        <v>144</v>
      </c>
      <c r="I54" s="46" t="str">
        <f>ROUND(F54/IF(COUNTIF(L8:L50,"&gt;=0")=0,1,COUNTIF(L8:L50,"&gt;=0")),4)*100&amp;"%"</f>
        <v>46.51%</v>
      </c>
      <c r="J54" s="47"/>
      <c r="Q54" s="26">
        <v>6.45</v>
      </c>
    </row>
    <row r="55" spans="1:37" ht="12.75" customHeight="1" x14ac:dyDescent="0.35">
      <c r="A55" s="27"/>
      <c r="D55" s="45" t="s">
        <v>147</v>
      </c>
      <c r="E55" s="45"/>
      <c r="F55" s="46" t="str">
        <f>TEXT(COUNTIF(L8:L50,"&gt;="&amp;Q55)-F54-F53,"#0")</f>
        <v>12</v>
      </c>
      <c r="G55" s="46"/>
      <c r="H55" s="31" t="s">
        <v>144</v>
      </c>
      <c r="I55" s="46" t="str">
        <f>ROUND(F55/IF(COUNTIF(L8:L50,"&gt;=0")=0,1,COUNTIF(L8:L50,"&gt;=0")),4)*100&amp;"%"</f>
        <v>27.91%</v>
      </c>
      <c r="J55" s="47"/>
      <c r="Q55" s="26">
        <v>4.95</v>
      </c>
    </row>
    <row r="56" spans="1:37" ht="12.75" customHeight="1" x14ac:dyDescent="0.35">
      <c r="A56" s="28"/>
      <c r="B56" s="29"/>
      <c r="C56" s="30"/>
      <c r="D56" s="49" t="s">
        <v>148</v>
      </c>
      <c r="E56" s="49"/>
      <c r="F56" s="50" t="str">
        <f>TEXT(COUNTIF(L8:L50,"&gt;=0")-F52-F53-F54-F55,"#0")</f>
        <v>6</v>
      </c>
      <c r="G56" s="50"/>
      <c r="H56" s="32" t="s">
        <v>144</v>
      </c>
      <c r="I56" s="50" t="str">
        <f>ROUND(F56/IF(COUNTIF(L8:L50,"&gt;=0")=0,1,COUNTIF(L8:L50,"&gt;=0")),4)*100&amp;"%"</f>
        <v>13.95%</v>
      </c>
      <c r="J56" s="51"/>
    </row>
    <row r="65536" ht="14.5" x14ac:dyDescent="0.35"/>
  </sheetData>
  <mergeCells count="32">
    <mergeCell ref="D55:E55"/>
    <mergeCell ref="F55:G55"/>
    <mergeCell ref="I55:J55"/>
    <mergeCell ref="D56:E56"/>
    <mergeCell ref="F56:G56"/>
    <mergeCell ref="I56:J56"/>
    <mergeCell ref="A51:J52"/>
    <mergeCell ref="A53:C53"/>
    <mergeCell ref="D53:E53"/>
    <mergeCell ref="F53:G53"/>
    <mergeCell ref="I53:J53"/>
    <mergeCell ref="A54:C54"/>
    <mergeCell ref="D54:E54"/>
    <mergeCell ref="F54:G54"/>
    <mergeCell ref="I54:J54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60">
    <dataValidation type="list" allowBlank="1" showInputMessage="1" showErrorMessage="1" errorTitle="Thông báo" error="Bạn phải nhập [Đạt] = d, Đ, đ, 1   [Chưa đạt] = c, CĐ, cđ, 2" sqref="C5" xr:uid="{F50A46CF-C564-43EF-B4DB-D26A65614E24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012D962A-1267-4795-8DE1-322FE52938D1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152323EC-A007-4596-A50A-ED7717C98E43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884DDF09-8FF2-44D1-9BD9-02F57A5567F7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DD117484-D41D-457E-934D-058B22A5D438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95A56E44-1620-4A49-BEB5-0AE33989C4CA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0C9EC302-7941-4B83-90FD-44E69AAE1CA0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2DB46736-0EE4-49F6-9788-FB6B9A4BB421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CB5C2DB6-0574-4DB7-9B2D-DB19953EE1A3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8DA440A8-E2C3-419B-B568-003B22B2891C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404A927C-7B06-41F4-B751-2BA13BF60B43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9137B6E6-5B4C-4F76-8478-9D9E410AEFED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5E622017-468E-4D9C-AAEF-564C4EDFEB79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873A0335-C33B-482A-96CC-3E301C2DF17E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AF430834-1D8F-4063-A679-835C7858D4EF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9F32A654-5A54-4C64-809B-8EA4A371069B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1EC17FD5-85BB-4471-83DE-0E0D006B9C2F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3E5BC163-DD10-465C-88D9-08513ED1C7A7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8E415265-B4D2-4E02-82BF-F4F85A144B3A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59EC3D23-14BF-4A32-AC88-7795CAFD4898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48F4E58A-A0FB-4200-BD0E-692B5818CDB2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95889DE9-0D3C-466B-93AA-89936E337406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011A3A97-1A19-4CC8-8AA8-54542B81CC71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F315133E-F998-4B52-ACCB-946A7E1AFA00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BB61BF4C-1425-4547-8ADD-8137EBFE57EC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81C03E39-C008-4F8B-8F5E-1555658905E1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112293C6-48ED-4C18-84B0-95B7B47F4EF6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FBC2149D-980C-4610-9497-1C05BBCEBC27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3E7F0AD6-FFB7-4AD9-ABF1-4D2C3564C023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3E0F6091-5B2B-4B47-9D0E-76DD78D35536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F221B617-99ED-465A-873C-4CC6DEBF065E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8CC1CD4F-1C14-4A7F-8D67-27687DEF8A22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9F258E1B-9194-4A50-9836-3C441F0EE0E3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9A0884EB-20FE-4E29-A631-5A52B5DA584C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D3951FE0-1BA8-4F3A-9C85-A28202CAAD6F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F9AC2337-728B-4072-AB62-B80536A53297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4A9B989A-985C-4EE7-9FE2-49474B27E878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5806C6CC-9F11-481B-9F61-4497B7207211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DCF91CD5-2D75-4BAB-B57E-A81C417C4920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1818D38C-C0B8-41A9-941A-768A61EC6320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BF689B95-4529-4745-9675-70F1FDF65B83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B41C6FF0-50C7-452D-8D27-7342F06113DA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0707EEF5-4A1B-4433-99E3-F6F4F4913C88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0782B8B8-D614-4D26-897A-9D2C475BBF70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CD1532F6-15DB-4B69-BBDB-D34A85B0E026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856FE1AF-E118-4864-8467-6DE21FF43434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C39ED40C-C358-4A26-BE96-FA80C29C13BF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2B1C1DD8-FB44-4C11-8D93-D16E1A2EC4D5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F67A9689-6061-4A60-BCD9-6ECAE635A9C9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69B25D9D-501A-4F6E-98B4-CB329EDE430D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11CD9862-CF50-42AC-B574-D1ECD0BD103B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78F3F881-C919-462B-8FC4-1D13905401D5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26783CB8-9944-4937-B0BB-58A014646F71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D6543116-6CE4-4D0B-A7D0-6A4C9D05140E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8A84BDCD-4092-44D4-B98D-499DB336E5A7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3E4A12DD-0C8D-4B3A-95AA-862961FF96CE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B078EA2E-DE78-4C0E-8171-EA80DA0EDC50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C980C438-EE42-47FA-AF36-07DB32F96324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05552CAD-2040-4754-83AB-23CCD0DE74AE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4A94138C-BBCA-4AC0-B2DF-E7549B902062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E1C83581-E112-4DB6-B36B-EFD63BED01CF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84161A93-FF9E-4A12-84E6-B75D4FCFC2BB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0A20D130-87A9-455F-AEC6-8657165EF36D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01FADFB6-EA96-4CB7-AFB6-5A5A791A3EF0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3C3FAAC9-4A37-4AD2-82E5-83D356E8AFC8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0357186B-2782-47FB-90FB-FEFC1C68E608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1B15823F-9232-40EA-B8C4-C12A807A3920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B9F4BC67-782E-4817-85A8-DA7A68B27A5C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76F57CC5-466E-4618-8757-E896AF4AB2A8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0417CAEC-17D4-4666-B958-CC52AA8D57FC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53900FA2-664A-43E1-A35A-97103F3E99A8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95AD75EE-59B0-4E4C-B548-247B8A1AC277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2D377EB5-474C-4C66-BBEA-C15D40E2A212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1DE0CFF7-7A01-474D-8033-976DE39C8DF4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76EFE198-7AC5-479A-B674-FA4695630E30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93EA7F3C-046F-44A8-906A-9531FC4A50AE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21B05567-9616-4C57-A802-3DE26F507AED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ECB79B2E-843C-4805-A4CE-08D978654411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744B9CEE-2127-409A-9A4C-9C33610E0A73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CC3A4015-F435-4666-BC67-58CF0CA4823B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4A083A9F-0416-4F5C-9DF4-ADBEC234D119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27B6426C-1C51-4658-8AAA-42E1FDA10F82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CD7176A3-9B8D-46AB-862D-25F52FC81035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91B9BA6A-8CB3-4FB5-8E3C-831B7E963670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31088A85-939E-4E81-B427-9492216F447E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095ADEEE-26A7-457E-A506-83ED3DB6172D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7FBF7DFC-3114-4530-B3C3-03B387231A58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A453AD93-9176-4488-9038-FAF7085841C0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CE03BFD0-A984-48EB-B638-B2BF8D9BA8E7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4C92FC91-A5AF-4D8A-B624-01AA92EBA0F2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AAE1E455-057A-45C1-8FF4-0A3CC1AE17E8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FFFF6BAC-5EDA-4368-9E8E-657EFEC9052E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F93B8DA5-1553-41FA-A035-1DB8BB8317E2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C0A26E61-941A-4C63-B5F8-A6ABFF3F28BB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95F33B89-5698-483F-BDB2-7E54D0ABF9C7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B01E0869-1FB4-457D-A12F-6583875F0EF8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90EEC021-AA74-40B8-885B-69CC47A7C2D9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FED66A2D-9B90-434A-8EE5-F60E855E9331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58A27430-3EE8-4881-9AAF-1D764B8A5171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B4F6B572-0837-4B45-B15C-58D2A2295EFA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407B6233-1FE2-4F8A-BFF0-A86C0EA1A643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DFB6A528-1F38-4E85-A932-25B6CAA47170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E1A11A2D-89FC-4C48-813A-0C53F09A2EF7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49933FC3-22EB-411A-96C5-CA67FA5F3BC3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E6E00249-0BF4-40A2-8873-B2B22E020FDB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FD113455-1C9B-473E-8D9F-F588F43EB667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04AE8235-337A-4A80-B076-03D8920D6C62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BA4F6706-ACCB-4985-95A9-663B52C73922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22F7AE44-6EB2-4876-BF13-F8CD5DE11C5B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4B06A5DC-1D62-4E64-A982-9B98D3DEE4AC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BE2DAFD7-6F8F-46A6-94D9-C4819A6E153E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701506FD-2801-4C62-89F3-53408A6B4352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E2C9030F-E552-4A7E-BBA6-5C97316E823F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CDA53190-B568-463A-9BD8-B40540274477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0E9EA49F-344F-491C-BDCA-7133C7419F1D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F73FB905-7A16-40AE-88BC-4D06DB0FE9D7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5E5D2CCF-F196-4AE5-9B9A-47B620658434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D7A73EE0-8C0E-45FD-9DA8-70E381FDB128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80CFB8A4-0E72-4AD2-9581-702A9A1CB5F3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62C6B5B4-5DF0-43A7-9B8A-883938226A24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8CF5FB94-21CD-4111-A2BE-C2D7DE49FCC0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D6C3CC87-7F69-40A0-A988-E77C3DCF1428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43A2B7E4-F56F-47CA-84CA-E0A5C4C535D4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1F1B1B9C-1FFD-4CB4-A40E-3AE7BE8F9C66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621207B7-1232-4E66-9CDE-8EE81857D82D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85C992AE-4C0C-49C0-BC7A-9D37DCDF7535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BD91E842-F46B-49A9-B518-3358FA61E0D6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0F5544F0-EFE3-40A4-B5D5-DCD3F2E176CF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7550A138-1462-4831-88E5-D504F15CEAEF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2A16DDAA-A5B2-4E9D-878F-BAA2AC996D1A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E475ED1E-9AE0-473B-89EF-7CE4D4A1C91B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941E6200-84A6-4601-A4AD-81D1305C61FE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AE3F2D88-D153-4841-85E5-0AF84F1BB2F8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4DBF99D9-A0D1-4938-96B8-9267B44189AE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958AF0CA-B908-49BD-A139-B3ECFAAAA70A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C94D1054-4310-4FAD-8717-D7985147C09F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6BD15D32-6B81-4316-BE7D-B8DAAD7CC3C8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D003DC79-765E-4CBB-B6D2-506659034FD8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DA51DDB3-2751-4E94-BE8D-4AAE8032F8A2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45720D90-B0D2-4C78-9AB7-87ED4365FBC7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0B5142DC-4FDE-42EB-8695-CE9C703074E0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F1784513-C306-44AB-84C1-AB97AD331C42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4C208302-8598-42C5-B17A-AEBBAA42984B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17447393-63DE-4946-A4F5-D237CD54D7F4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0EB7CB1E-A462-4A97-B175-C1B57F9B679F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A1BD70EA-1D10-4008-AC37-F2AF4AB59999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202CB396-6191-4EAE-8AAF-3F1EF964544D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0B511EB9-D1B9-498F-A9DC-9B7992A4A250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8DC9411F-3158-42C0-977D-D26482CA5C86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0476332B-3063-49EB-8186-4237DC64652C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7D7478A5-012F-438F-8BE8-38132A7E13CB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227D7135-7556-49CA-A1DE-3288FA786814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EE09E402-EC62-4258-8001-16828B475264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88ECA590-2007-42BC-9BA2-2C25BD5D3202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F4F11116-3E94-4B80-B9B2-5C4AFD1A39AB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129CECDF-BD29-454F-8D2B-5AE2E24AA353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F57BAC01-92B1-43A2-90C5-1F97DE52A644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DFE138FB-74A6-4B7A-97EF-11B84515D8DC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75181211-A75E-4A65-86A8-31C95EF8A25D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F72E9A2E-54E3-4929-8861-B0EDCFF0B182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D0BDBCA5-EB1C-4478-9535-516CB09A7A91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AF96CA5F-997C-43BF-AC74-897CAF81EC73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89814EB7-D195-47AF-8891-601245D967A1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9A9F1F26-573B-4939-A1B8-0A292FBFE2DC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30C59B79-BF04-4526-A1BC-48C0CD6D4A7D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4F5ABBD7-1465-4461-AACA-1726A3B58E53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3510FB5A-C14D-41A4-A2B7-972C74554E57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DAF85735-9677-4C8F-96C3-8F4019CF7EDF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145C8C38-9D11-4C4A-92BE-21D5306A3E30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107E7C00-ABDA-4F69-813E-57E0BDCED923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FFA7D271-2E94-4329-A8AE-959371D973F7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486ACD74-639E-44D4-8CD7-1067B7FBCFC8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D7001D13-C507-498D-AE19-2EE0A02E90BA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5EFAB0ED-96A1-40C9-B84E-F7E04BC06E47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CDA14019-C542-4E5A-8CBA-918C2E844038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DE9BD9B3-930A-4FCF-98EF-573570C4D607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C02E0B47-AC3C-461F-A2F5-4BAF14543EEA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F61A720B-486B-4A65-A2FA-287459A0940B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A11218B9-0CEE-4BDC-86B0-83C09AD7240C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0F9CAC27-7D13-43AC-AE9D-BF62150D5D07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70C52344-9308-41FC-B825-0818A2526E4E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3CA7D091-433F-4B03-8DC0-DCDDA2C4DF3A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149A4F61-1ADC-42B2-99CA-6DF3E81C6E90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0DC54BBF-40DF-430D-9278-705FBE5FA15B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58023A28-AD21-4838-B703-F49EF66A7702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7962F673-F9ED-45C4-8066-DFBCE0740020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EB6E88F7-917D-4C13-89C3-9B2940CB7220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603FF028-88EB-4F67-B34C-5AC34B300B80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114A01A6-8815-403D-AFF5-2110309932C5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128A9396-F798-4586-9A3E-50AA28E4538C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385D81DD-2ADF-4A0F-8D1D-61C277645E04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BCF4F2F7-9FC7-4730-88BD-FFC9C34F9A71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0F7CEE4F-A467-4183-8BFE-CA4DDEE42D61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DAE9F545-AC89-4F55-B88C-EC27353D62DB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F32E3101-DF47-4C66-B5BB-B56CC62B199F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279D713D-5B3E-459F-8EF7-1678BDEE2B23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C66ECCD7-8341-4AD1-ABAB-6BAFBC67166B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43B119DC-3870-4DEB-AEC9-056A758171BD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5F8768F4-0DC8-477C-B745-F659E468C643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65D71053-DB53-49C3-A4CB-11827EB99019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F34F0238-59F6-47D5-AD8A-A167922E8330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ACFED456-EA78-4F1A-8B2E-4446FC310256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34ADA882-BD2E-47D1-ACB4-A35DB7C1DC08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E5B00437-F82E-4CFF-A78A-56B83679CDE1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82E6CDE3-2DAE-46C2-AAAB-52C62E2242A9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B7750005-42DA-4213-9448-E17C2574882C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BF52EC2C-AC06-427B-9049-CEB2EE5E3EF2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DD5895E4-4175-4D47-8B65-6EFA379E95B5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36EC7A4B-661E-4B03-9FD4-21E4B6437882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34DBA836-EED4-4786-8729-01ED60659905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D15AA39E-9CEE-466F-A88E-08257178BC53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05371CA0-4EB1-4681-A7DB-464175A7F1F5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FEF712A2-FBDC-41D5-A261-E76E2E040928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24C7A93E-D6E0-419C-BC1F-A2D45C2684AD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FF224729-3D44-4F19-A79D-802EF08457A4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953A86B8-F4EC-4C47-B575-AD72FCD36ABE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0664B12E-696D-47FE-9A4E-0491BD378CB6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CBC50AF4-017A-4486-A2C1-29112CB9D04D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AD041345-163D-492A-A50C-2E96F109BB66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938D4E12-AD5E-41FE-9B46-95F749A6051B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633D2BBA-592C-4685-954D-A4E72EC02D90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F60D7DCF-923D-44F2-BE62-A50EFAE09471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989B82C0-34D0-4B16-AAFD-EC5688631900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0FBEC61D-77EC-4442-ACF1-73D2DBDA9F61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B23AC852-EE78-4038-9695-43F95C460E31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06E637A0-E105-4366-812F-FCBBF7454F12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3E5218EE-FC2C-4C8B-97FD-AF0FD276D365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425543B6-EE40-40FE-A34F-0ECDEC801572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307FA1ED-C7E0-4BC8-8855-65CA9D4F5850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5BAB4B69-A2CB-4E43-9599-55A01524F91A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53575F41-554E-4F87-AB77-7B443F417A1F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4BC053DE-A213-4824-9523-8F3DEAF335F4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3FB215DF-A66A-4C98-9BA4-76A91C47C46B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73F19969-6968-4FAA-8FE1-6D97C80E0BE5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CFBFC930-75F0-49AC-AC76-1BC4E9EF2286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8CCBE7DD-4321-46F1-ADFA-2A54A8E0E513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BC3BE540-415C-4F35-838A-E224D1ADA74C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0D0CB559-B0E4-4E7A-BCFA-F7AEE51C84D4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03FBB1FF-654C-4015-A378-5747DA32FE3A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E11E9127-55DB-4554-A73A-A3E9138AE1E0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EBF91AC8-FF12-449D-AEA9-A29D2FCD08E9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1184ECE3-BE3F-4C05-9425-408812157C4C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17A1724A-5CAD-49A9-BCA6-4B42038D256F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E5C9F04A-D6A1-408A-88F1-2B96224626B1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E8434AAA-AB2D-409C-B89F-BD229F05B220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1534732A-CECA-460E-8FAF-5C0666D167AE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0793574C-1263-4F72-9948-28EED0D84CE7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6B08EA58-CE95-45BB-9675-F3C82B846CC6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3A209882-0E06-4CC6-96BD-3969FD932924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A4C3D80A-5DCB-4FE8-978D-EC68B746F95C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265C8FB0-7EC8-4A75-8093-DA9586BD5364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734730EB-B0CF-4F1C-B45E-EBCE09A2DE40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2A494039-CA82-499E-A4D9-CA411809ABF2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88FF6F82-2040-44CD-959E-29BD3996C599}">
      <formula1>0</formula1>
      <formula2>10</formula2>
    </dataValidation>
    <dataValidation type="decimal" allowBlank="1" showInputMessage="1" showErrorMessage="1" errorTitle="Thông báo" error="Giá trị con điểm phải là số &gt;=0 và &lt;=10 " sqref="F50" xr:uid="{EBCE80AD-6D79-473C-84F7-F9F31DF345FF}">
      <formula1>0</formula1>
      <formula2>10</formula2>
    </dataValidation>
    <dataValidation type="decimal" allowBlank="1" showInputMessage="1" showErrorMessage="1" errorTitle="Thông báo" error="Giá trị con điểm phải là số &gt;=0 và &lt;=10 " sqref="G50" xr:uid="{A4BEA4E8-2991-4555-88C6-560CD6843F0E}">
      <formula1>0</formula1>
      <formula2>10</formula2>
    </dataValidation>
    <dataValidation type="decimal" allowBlank="1" showInputMessage="1" showErrorMessage="1" errorTitle="Thông báo" error="Giá trị con điểm phải là số &gt;=0 và &lt;=10 " sqref="H50" xr:uid="{E837AAB2-4BAC-47B6-83A4-07F088F39587}">
      <formula1>0</formula1>
      <formula2>10</formula2>
    </dataValidation>
    <dataValidation type="decimal" allowBlank="1" showInputMessage="1" showErrorMessage="1" errorTitle="Thông báo" error="Giá trị con điểm phải là số &gt;=0 và &lt;=10 " sqref="I50" xr:uid="{F825A5BE-CF60-44D9-A7C2-D90D8FD0C561}">
      <formula1>0</formula1>
      <formula2>10</formula2>
    </dataValidation>
    <dataValidation type="decimal" allowBlank="1" showInputMessage="1" showErrorMessage="1" errorTitle="Thông báo" error="Giá trị con điểm phải là số &gt;=0 và &lt;=10 " sqref="J50" xr:uid="{C9C4AC61-B52A-4D23-AA44-7B5C68D59518}">
      <formula1>0</formula1>
      <formula2>10</formula2>
    </dataValidation>
    <dataValidation type="decimal" allowBlank="1" showInputMessage="1" showErrorMessage="1" errorTitle="Thông báo" error="Giá trị con điểm phải là số &gt;=0 và &lt;=10 " sqref="K50" xr:uid="{EBDC4E29-AE97-4E1C-BB33-7025558AAC53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E730-B8C5-4134-B773-D7C3189102A5}">
  <dimension ref="A1:AK65536"/>
  <sheetViews>
    <sheetView showRuler="0" zoomScaleNormal="100" workbookViewId="0">
      <selection activeCell="D53" sqref="D53:J57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447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2405606299</v>
      </c>
      <c r="C8" s="24" t="s">
        <v>448</v>
      </c>
      <c r="D8" s="22" t="s">
        <v>270</v>
      </c>
      <c r="E8" s="13" t="s">
        <v>449</v>
      </c>
      <c r="F8" s="13">
        <v>5</v>
      </c>
      <c r="G8" s="13">
        <v>10</v>
      </c>
      <c r="H8" s="13"/>
      <c r="I8" s="16"/>
      <c r="J8" s="16">
        <v>7.5</v>
      </c>
      <c r="K8" s="16">
        <v>8.5</v>
      </c>
      <c r="L8" s="18">
        <f t="shared" ref="L8:L51" si="0">IF((COUNT(F8:I8)+COUNT(J8:J8)*2+COUNT(K8:K8)*3),ROUND((SUM(F8:I8)+SUM(J8:J8)*2+SUM(K8:K8)*3)/(COUNT(F8:I8)+COUNT(J8:J8)*2+COUNT(K8:K8)*3),1),"")</f>
        <v>7.9</v>
      </c>
      <c r="M8" s="16" t="s">
        <v>274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2405609359</v>
      </c>
      <c r="C9" s="24" t="s">
        <v>450</v>
      </c>
      <c r="D9" s="22" t="s">
        <v>24</v>
      </c>
      <c r="E9" s="13" t="s">
        <v>451</v>
      </c>
      <c r="F9" s="13">
        <v>5</v>
      </c>
      <c r="G9" s="13">
        <v>7.5</v>
      </c>
      <c r="H9" s="13"/>
      <c r="I9" s="16"/>
      <c r="J9" s="16">
        <v>5</v>
      </c>
      <c r="K9" s="16">
        <v>5</v>
      </c>
      <c r="L9" s="18">
        <f t="shared" si="0"/>
        <v>5.4</v>
      </c>
      <c r="M9" s="16" t="s">
        <v>274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2405609969</v>
      </c>
      <c r="C10" s="24" t="s">
        <v>452</v>
      </c>
      <c r="D10" s="22" t="s">
        <v>157</v>
      </c>
      <c r="E10" s="13" t="s">
        <v>453</v>
      </c>
      <c r="F10" s="13">
        <v>6</v>
      </c>
      <c r="G10" s="13">
        <v>7</v>
      </c>
      <c r="H10" s="13"/>
      <c r="I10" s="16"/>
      <c r="J10" s="16">
        <v>5</v>
      </c>
      <c r="K10" s="16">
        <v>7</v>
      </c>
      <c r="L10" s="18">
        <f t="shared" si="0"/>
        <v>6.3</v>
      </c>
      <c r="M10" s="16" t="s">
        <v>33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2405612684</v>
      </c>
      <c r="C11" s="24" t="s">
        <v>454</v>
      </c>
      <c r="D11" s="22" t="s">
        <v>35</v>
      </c>
      <c r="E11" s="13" t="s">
        <v>282</v>
      </c>
      <c r="F11" s="13">
        <v>6</v>
      </c>
      <c r="G11" s="13">
        <v>9</v>
      </c>
      <c r="H11" s="13"/>
      <c r="I11" s="16"/>
      <c r="J11" s="16">
        <v>7.5</v>
      </c>
      <c r="K11" s="16">
        <v>8.5</v>
      </c>
      <c r="L11" s="18">
        <f t="shared" si="0"/>
        <v>7.9</v>
      </c>
      <c r="M11" s="16" t="s">
        <v>33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2405610575</v>
      </c>
      <c r="C12" s="25" t="s">
        <v>455</v>
      </c>
      <c r="D12" s="23" t="s">
        <v>456</v>
      </c>
      <c r="E12" s="15" t="s">
        <v>457</v>
      </c>
      <c r="F12" s="15">
        <v>8</v>
      </c>
      <c r="G12" s="15">
        <v>10</v>
      </c>
      <c r="H12" s="15"/>
      <c r="I12" s="17"/>
      <c r="J12" s="17">
        <v>7.5</v>
      </c>
      <c r="K12" s="17">
        <v>6</v>
      </c>
      <c r="L12" s="19">
        <f t="shared" si="0"/>
        <v>7.3</v>
      </c>
      <c r="M12" s="17" t="s">
        <v>22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2405614418</v>
      </c>
      <c r="C13" s="24" t="s">
        <v>458</v>
      </c>
      <c r="D13" s="22" t="s">
        <v>370</v>
      </c>
      <c r="E13" s="13" t="s">
        <v>459</v>
      </c>
      <c r="F13" s="13">
        <v>5</v>
      </c>
      <c r="G13" s="13">
        <v>5</v>
      </c>
      <c r="H13" s="13"/>
      <c r="I13" s="16"/>
      <c r="J13" s="16">
        <v>7</v>
      </c>
      <c r="K13" s="16">
        <v>6.5</v>
      </c>
      <c r="L13" s="18">
        <f t="shared" si="0"/>
        <v>6.2</v>
      </c>
      <c r="M13" s="16" t="s">
        <v>460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2405615244</v>
      </c>
      <c r="C14" s="24" t="s">
        <v>461</v>
      </c>
      <c r="D14" s="22" t="s">
        <v>52</v>
      </c>
      <c r="E14" s="13" t="s">
        <v>462</v>
      </c>
      <c r="F14" s="13">
        <v>8</v>
      </c>
      <c r="G14" s="13">
        <v>6.5</v>
      </c>
      <c r="H14" s="13"/>
      <c r="I14" s="16"/>
      <c r="J14" s="16">
        <v>5</v>
      </c>
      <c r="K14" s="16">
        <v>6.5</v>
      </c>
      <c r="L14" s="18">
        <f t="shared" si="0"/>
        <v>6.3</v>
      </c>
      <c r="M14" s="16" t="s">
        <v>42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2405616439</v>
      </c>
      <c r="C15" s="24" t="s">
        <v>463</v>
      </c>
      <c r="D15" s="22" t="s">
        <v>294</v>
      </c>
      <c r="E15" s="13" t="s">
        <v>464</v>
      </c>
      <c r="F15" s="13">
        <v>6</v>
      </c>
      <c r="G15" s="13">
        <v>5</v>
      </c>
      <c r="H15" s="13"/>
      <c r="I15" s="16"/>
      <c r="J15" s="16">
        <v>5</v>
      </c>
      <c r="K15" s="16">
        <v>6</v>
      </c>
      <c r="L15" s="18">
        <f t="shared" si="0"/>
        <v>5.6</v>
      </c>
      <c r="M15" s="16" t="s">
        <v>33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2405617716</v>
      </c>
      <c r="C16" s="24" t="s">
        <v>465</v>
      </c>
      <c r="D16" s="22" t="s">
        <v>294</v>
      </c>
      <c r="E16" s="13" t="s">
        <v>466</v>
      </c>
      <c r="F16" s="13">
        <v>6</v>
      </c>
      <c r="G16" s="13">
        <v>7</v>
      </c>
      <c r="H16" s="13"/>
      <c r="I16" s="16"/>
      <c r="J16" s="16">
        <v>8.5</v>
      </c>
      <c r="K16" s="16">
        <v>6</v>
      </c>
      <c r="L16" s="18">
        <f t="shared" si="0"/>
        <v>6.9</v>
      </c>
      <c r="M16" s="16" t="s">
        <v>33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2405619377</v>
      </c>
      <c r="C17" s="25" t="s">
        <v>467</v>
      </c>
      <c r="D17" s="23" t="s">
        <v>468</v>
      </c>
      <c r="E17" s="15" t="s">
        <v>469</v>
      </c>
      <c r="F17" s="15">
        <v>6</v>
      </c>
      <c r="G17" s="15">
        <v>7.5</v>
      </c>
      <c r="H17" s="15"/>
      <c r="I17" s="17"/>
      <c r="J17" s="17">
        <v>6</v>
      </c>
      <c r="K17" s="17">
        <v>6</v>
      </c>
      <c r="L17" s="19">
        <f t="shared" si="0"/>
        <v>6.2</v>
      </c>
      <c r="M17" s="17" t="s">
        <v>33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2405620042</v>
      </c>
      <c r="C18" s="24" t="s">
        <v>470</v>
      </c>
      <c r="D18" s="22" t="s">
        <v>468</v>
      </c>
      <c r="E18" s="13" t="s">
        <v>282</v>
      </c>
      <c r="F18" s="13">
        <v>7</v>
      </c>
      <c r="G18" s="13">
        <v>9</v>
      </c>
      <c r="H18" s="13"/>
      <c r="I18" s="16"/>
      <c r="J18" s="16">
        <v>7.5</v>
      </c>
      <c r="K18" s="16">
        <v>6.5</v>
      </c>
      <c r="L18" s="18">
        <f t="shared" si="0"/>
        <v>7.2</v>
      </c>
      <c r="M18" s="16" t="s">
        <v>42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2405618602</v>
      </c>
      <c r="C19" s="24" t="s">
        <v>471</v>
      </c>
      <c r="D19" s="22" t="s">
        <v>59</v>
      </c>
      <c r="E19" s="13" t="s">
        <v>282</v>
      </c>
      <c r="F19" s="13">
        <v>6</v>
      </c>
      <c r="G19" s="13">
        <v>6</v>
      </c>
      <c r="H19" s="13"/>
      <c r="I19" s="16"/>
      <c r="J19" s="16">
        <v>6</v>
      </c>
      <c r="K19" s="16">
        <v>7.5</v>
      </c>
      <c r="L19" s="18">
        <f t="shared" si="0"/>
        <v>6.6</v>
      </c>
      <c r="M19" s="16" t="s">
        <v>33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2405622174</v>
      </c>
      <c r="C20" s="24" t="s">
        <v>472</v>
      </c>
      <c r="D20" s="22" t="s">
        <v>473</v>
      </c>
      <c r="E20" s="13" t="s">
        <v>357</v>
      </c>
      <c r="F20" s="13">
        <v>5</v>
      </c>
      <c r="G20" s="13">
        <v>5</v>
      </c>
      <c r="H20" s="13"/>
      <c r="I20" s="16"/>
      <c r="J20" s="16">
        <v>7</v>
      </c>
      <c r="K20" s="16">
        <v>6.5</v>
      </c>
      <c r="L20" s="18">
        <f t="shared" si="0"/>
        <v>6.2</v>
      </c>
      <c r="M20" s="16" t="s">
        <v>33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2405624434</v>
      </c>
      <c r="C21" s="24" t="s">
        <v>124</v>
      </c>
      <c r="D21" s="22" t="s">
        <v>190</v>
      </c>
      <c r="E21" s="13" t="s">
        <v>408</v>
      </c>
      <c r="F21" s="13">
        <v>7</v>
      </c>
      <c r="G21" s="13">
        <v>7.5</v>
      </c>
      <c r="H21" s="13"/>
      <c r="I21" s="16"/>
      <c r="J21" s="16">
        <v>6.5</v>
      </c>
      <c r="K21" s="16">
        <v>6.5</v>
      </c>
      <c r="L21" s="18">
        <f t="shared" si="0"/>
        <v>6.7</v>
      </c>
      <c r="M21" s="16" t="s">
        <v>42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2405625063</v>
      </c>
      <c r="C22" s="25" t="s">
        <v>474</v>
      </c>
      <c r="D22" s="23" t="s">
        <v>190</v>
      </c>
      <c r="E22" s="15" t="s">
        <v>475</v>
      </c>
      <c r="F22" s="15">
        <v>8</v>
      </c>
      <c r="G22" s="15">
        <v>9</v>
      </c>
      <c r="H22" s="15"/>
      <c r="I22" s="17"/>
      <c r="J22" s="17">
        <v>7.5</v>
      </c>
      <c r="K22" s="17">
        <v>6.5</v>
      </c>
      <c r="L22" s="19">
        <f t="shared" si="0"/>
        <v>7.4</v>
      </c>
      <c r="M22" s="17" t="s">
        <v>22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2405625678</v>
      </c>
      <c r="C23" s="24" t="s">
        <v>476</v>
      </c>
      <c r="D23" s="22" t="s">
        <v>302</v>
      </c>
      <c r="E23" s="13" t="s">
        <v>477</v>
      </c>
      <c r="F23" s="13">
        <v>6</v>
      </c>
      <c r="G23" s="13">
        <v>5</v>
      </c>
      <c r="H23" s="13"/>
      <c r="I23" s="16"/>
      <c r="J23" s="16">
        <v>8</v>
      </c>
      <c r="K23" s="16">
        <v>7.5</v>
      </c>
      <c r="L23" s="18">
        <f t="shared" si="0"/>
        <v>7.1</v>
      </c>
      <c r="M23" s="16" t="s">
        <v>33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2405626734</v>
      </c>
      <c r="C24" s="24" t="s">
        <v>478</v>
      </c>
      <c r="D24" s="22" t="s">
        <v>479</v>
      </c>
      <c r="E24" s="13" t="s">
        <v>431</v>
      </c>
      <c r="F24" s="13">
        <v>8</v>
      </c>
      <c r="G24" s="13">
        <v>7.5</v>
      </c>
      <c r="H24" s="13"/>
      <c r="I24" s="16"/>
      <c r="J24" s="16">
        <v>7.5</v>
      </c>
      <c r="K24" s="16">
        <v>6.5</v>
      </c>
      <c r="L24" s="18">
        <f t="shared" si="0"/>
        <v>7.1</v>
      </c>
      <c r="M24" s="16" t="s">
        <v>22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2405623234</v>
      </c>
      <c r="C25" s="24" t="s">
        <v>480</v>
      </c>
      <c r="D25" s="22" t="s">
        <v>69</v>
      </c>
      <c r="E25" s="13" t="s">
        <v>481</v>
      </c>
      <c r="F25" s="13">
        <v>8</v>
      </c>
      <c r="G25" s="13">
        <v>7</v>
      </c>
      <c r="H25" s="13"/>
      <c r="I25" s="16"/>
      <c r="J25" s="16">
        <v>5</v>
      </c>
      <c r="K25" s="16">
        <v>6</v>
      </c>
      <c r="L25" s="18">
        <f t="shared" si="0"/>
        <v>6.1</v>
      </c>
      <c r="M25" s="16" t="s">
        <v>22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2405622808</v>
      </c>
      <c r="C26" s="24" t="s">
        <v>482</v>
      </c>
      <c r="D26" s="22" t="s">
        <v>69</v>
      </c>
      <c r="E26" s="13" t="s">
        <v>483</v>
      </c>
      <c r="F26" s="13">
        <v>7</v>
      </c>
      <c r="G26" s="13">
        <v>10</v>
      </c>
      <c r="H26" s="13"/>
      <c r="I26" s="16"/>
      <c r="J26" s="16">
        <v>5</v>
      </c>
      <c r="K26" s="16">
        <v>6.5</v>
      </c>
      <c r="L26" s="18">
        <f t="shared" si="0"/>
        <v>6.6</v>
      </c>
      <c r="M26" s="16" t="s">
        <v>42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2405636117</v>
      </c>
      <c r="C27" s="25" t="s">
        <v>484</v>
      </c>
      <c r="D27" s="23" t="s">
        <v>72</v>
      </c>
      <c r="E27" s="15" t="s">
        <v>485</v>
      </c>
      <c r="F27" s="15">
        <v>5</v>
      </c>
      <c r="G27" s="15">
        <v>8</v>
      </c>
      <c r="H27" s="15"/>
      <c r="I27" s="17"/>
      <c r="J27" s="17">
        <v>5</v>
      </c>
      <c r="K27" s="17">
        <v>6</v>
      </c>
      <c r="L27" s="19">
        <f t="shared" si="0"/>
        <v>5.9</v>
      </c>
      <c r="M27" s="17" t="s">
        <v>33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2405636208</v>
      </c>
      <c r="C28" s="24" t="s">
        <v>486</v>
      </c>
      <c r="D28" s="22" t="s">
        <v>487</v>
      </c>
      <c r="E28" s="13" t="s">
        <v>488</v>
      </c>
      <c r="F28" s="13">
        <v>9</v>
      </c>
      <c r="G28" s="13">
        <v>6</v>
      </c>
      <c r="H28" s="13"/>
      <c r="I28" s="16"/>
      <c r="J28" s="16">
        <v>5</v>
      </c>
      <c r="K28" s="16">
        <v>6</v>
      </c>
      <c r="L28" s="18">
        <f t="shared" si="0"/>
        <v>6.1</v>
      </c>
      <c r="M28" s="16" t="s">
        <v>22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2405636300</v>
      </c>
      <c r="C29" s="24" t="s">
        <v>489</v>
      </c>
      <c r="D29" s="22" t="s">
        <v>87</v>
      </c>
      <c r="E29" s="13" t="s">
        <v>490</v>
      </c>
      <c r="F29" s="13">
        <v>7</v>
      </c>
      <c r="G29" s="13">
        <v>8</v>
      </c>
      <c r="H29" s="13"/>
      <c r="I29" s="16"/>
      <c r="J29" s="16">
        <v>5</v>
      </c>
      <c r="K29" s="16">
        <v>6</v>
      </c>
      <c r="L29" s="18">
        <f t="shared" si="0"/>
        <v>6.1</v>
      </c>
      <c r="M29" s="16" t="s">
        <v>42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2405636430</v>
      </c>
      <c r="C30" s="24" t="s">
        <v>491</v>
      </c>
      <c r="D30" s="22" t="s">
        <v>87</v>
      </c>
      <c r="E30" s="13" t="s">
        <v>492</v>
      </c>
      <c r="F30" s="13">
        <v>5</v>
      </c>
      <c r="G30" s="13">
        <v>4</v>
      </c>
      <c r="H30" s="13"/>
      <c r="I30" s="16"/>
      <c r="J30" s="16">
        <v>5</v>
      </c>
      <c r="K30" s="16">
        <v>6.5</v>
      </c>
      <c r="L30" s="18">
        <f t="shared" si="0"/>
        <v>5.5</v>
      </c>
      <c r="M30" s="16" t="s">
        <v>274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2405636525</v>
      </c>
      <c r="C31" s="24" t="s">
        <v>493</v>
      </c>
      <c r="D31" s="22" t="s">
        <v>214</v>
      </c>
      <c r="E31" s="13" t="s">
        <v>115</v>
      </c>
      <c r="F31" s="13">
        <v>6</v>
      </c>
      <c r="G31" s="13">
        <v>9</v>
      </c>
      <c r="H31" s="13"/>
      <c r="I31" s="16"/>
      <c r="J31" s="16">
        <v>5.5</v>
      </c>
      <c r="K31" s="16">
        <v>6</v>
      </c>
      <c r="L31" s="18">
        <f t="shared" si="0"/>
        <v>6.3</v>
      </c>
      <c r="M31" s="16" t="s">
        <v>33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2405636972</v>
      </c>
      <c r="C32" s="25" t="s">
        <v>494</v>
      </c>
      <c r="D32" s="23" t="s">
        <v>105</v>
      </c>
      <c r="E32" s="15" t="s">
        <v>495</v>
      </c>
      <c r="F32" s="15">
        <v>10</v>
      </c>
      <c r="G32" s="15">
        <v>8.5</v>
      </c>
      <c r="H32" s="15"/>
      <c r="I32" s="17"/>
      <c r="J32" s="17">
        <v>6.5</v>
      </c>
      <c r="K32" s="17">
        <v>7</v>
      </c>
      <c r="L32" s="19">
        <f t="shared" si="0"/>
        <v>7.5</v>
      </c>
      <c r="M32" s="17" t="s">
        <v>22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2405636757</v>
      </c>
      <c r="C33" s="24" t="s">
        <v>496</v>
      </c>
      <c r="D33" s="22" t="s">
        <v>105</v>
      </c>
      <c r="E33" s="13" t="s">
        <v>497</v>
      </c>
      <c r="F33" s="13">
        <v>6</v>
      </c>
      <c r="G33" s="13">
        <v>5</v>
      </c>
      <c r="H33" s="13"/>
      <c r="I33" s="16"/>
      <c r="J33" s="16">
        <v>9</v>
      </c>
      <c r="K33" s="16">
        <v>7</v>
      </c>
      <c r="L33" s="18">
        <f t="shared" si="0"/>
        <v>7.1</v>
      </c>
      <c r="M33" s="16" t="s">
        <v>33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2405636875</v>
      </c>
      <c r="C34" s="24" t="s">
        <v>498</v>
      </c>
      <c r="D34" s="22" t="s">
        <v>105</v>
      </c>
      <c r="E34" s="13" t="s">
        <v>499</v>
      </c>
      <c r="F34" s="13">
        <v>6</v>
      </c>
      <c r="G34" s="13">
        <v>5</v>
      </c>
      <c r="H34" s="13"/>
      <c r="I34" s="16"/>
      <c r="J34" s="16">
        <v>5</v>
      </c>
      <c r="K34" s="16">
        <v>6</v>
      </c>
      <c r="L34" s="18">
        <f t="shared" si="0"/>
        <v>5.6</v>
      </c>
      <c r="M34" s="16" t="s">
        <v>33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2405637029</v>
      </c>
      <c r="C35" s="24" t="s">
        <v>500</v>
      </c>
      <c r="D35" s="22" t="s">
        <v>501</v>
      </c>
      <c r="E35" s="13" t="s">
        <v>502</v>
      </c>
      <c r="F35" s="13">
        <v>7</v>
      </c>
      <c r="G35" s="13">
        <v>7</v>
      </c>
      <c r="H35" s="13"/>
      <c r="I35" s="16"/>
      <c r="J35" s="16">
        <v>6</v>
      </c>
      <c r="K35" s="16">
        <v>6.5</v>
      </c>
      <c r="L35" s="18">
        <f t="shared" si="0"/>
        <v>6.5</v>
      </c>
      <c r="M35" s="16" t="s">
        <v>42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2405637157</v>
      </c>
      <c r="C36" s="24" t="s">
        <v>503</v>
      </c>
      <c r="D36" s="22" t="s">
        <v>120</v>
      </c>
      <c r="E36" s="13" t="s">
        <v>504</v>
      </c>
      <c r="F36" s="13">
        <v>5</v>
      </c>
      <c r="G36" s="13">
        <v>6</v>
      </c>
      <c r="H36" s="13"/>
      <c r="I36" s="16"/>
      <c r="J36" s="16">
        <v>5</v>
      </c>
      <c r="K36" s="16">
        <v>6</v>
      </c>
      <c r="L36" s="18">
        <f t="shared" si="0"/>
        <v>5.6</v>
      </c>
      <c r="M36" s="16" t="s">
        <v>460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2405637299</v>
      </c>
      <c r="C37" s="25" t="s">
        <v>505</v>
      </c>
      <c r="D37" s="23" t="s">
        <v>506</v>
      </c>
      <c r="E37" s="15" t="s">
        <v>231</v>
      </c>
      <c r="F37" s="15">
        <v>7</v>
      </c>
      <c r="G37" s="15">
        <v>8</v>
      </c>
      <c r="H37" s="15"/>
      <c r="I37" s="17"/>
      <c r="J37" s="17">
        <v>6</v>
      </c>
      <c r="K37" s="17">
        <v>7</v>
      </c>
      <c r="L37" s="19">
        <f t="shared" si="0"/>
        <v>6.9</v>
      </c>
      <c r="M37" s="17" t="s">
        <v>42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2405638030</v>
      </c>
      <c r="C38" s="24" t="s">
        <v>507</v>
      </c>
      <c r="D38" s="22" t="s">
        <v>122</v>
      </c>
      <c r="E38" s="13" t="s">
        <v>508</v>
      </c>
      <c r="F38" s="13">
        <v>7</v>
      </c>
      <c r="G38" s="13">
        <v>7.5</v>
      </c>
      <c r="H38" s="13"/>
      <c r="I38" s="16"/>
      <c r="J38" s="16">
        <v>5</v>
      </c>
      <c r="K38" s="16">
        <v>6</v>
      </c>
      <c r="L38" s="18">
        <f t="shared" si="0"/>
        <v>6.1</v>
      </c>
      <c r="M38" s="16" t="s">
        <v>42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2405638711</v>
      </c>
      <c r="C39" s="24" t="s">
        <v>509</v>
      </c>
      <c r="D39" s="22" t="s">
        <v>238</v>
      </c>
      <c r="E39" s="13" t="s">
        <v>457</v>
      </c>
      <c r="F39" s="13">
        <v>7</v>
      </c>
      <c r="G39" s="13">
        <v>10</v>
      </c>
      <c r="H39" s="13"/>
      <c r="I39" s="16"/>
      <c r="J39" s="16">
        <v>5</v>
      </c>
      <c r="K39" s="16">
        <v>6</v>
      </c>
      <c r="L39" s="18">
        <f t="shared" si="0"/>
        <v>6.4</v>
      </c>
      <c r="M39" s="16" t="s">
        <v>42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2405638981</v>
      </c>
      <c r="C40" s="24" t="s">
        <v>71</v>
      </c>
      <c r="D40" s="22" t="s">
        <v>238</v>
      </c>
      <c r="E40" s="13" t="s">
        <v>384</v>
      </c>
      <c r="F40" s="13">
        <v>8</v>
      </c>
      <c r="G40" s="13">
        <v>8</v>
      </c>
      <c r="H40" s="13"/>
      <c r="I40" s="16"/>
      <c r="J40" s="16">
        <v>5</v>
      </c>
      <c r="K40" s="16">
        <v>6</v>
      </c>
      <c r="L40" s="18">
        <f t="shared" si="0"/>
        <v>6.3</v>
      </c>
      <c r="M40" s="16" t="s">
        <v>22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2405639198</v>
      </c>
      <c r="C41" s="24" t="s">
        <v>510</v>
      </c>
      <c r="D41" s="22" t="s">
        <v>511</v>
      </c>
      <c r="E41" s="13" t="s">
        <v>512</v>
      </c>
      <c r="F41" s="13">
        <v>7</v>
      </c>
      <c r="G41" s="13">
        <v>8</v>
      </c>
      <c r="H41" s="13"/>
      <c r="I41" s="16"/>
      <c r="J41" s="16">
        <v>8</v>
      </c>
      <c r="K41" s="16">
        <v>8.5</v>
      </c>
      <c r="L41" s="18">
        <f t="shared" si="0"/>
        <v>8.1</v>
      </c>
      <c r="M41" s="16" t="s">
        <v>42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2405639933</v>
      </c>
      <c r="C42" s="25" t="s">
        <v>341</v>
      </c>
      <c r="D42" s="23" t="s">
        <v>125</v>
      </c>
      <c r="E42" s="15" t="s">
        <v>513</v>
      </c>
      <c r="F42" s="15">
        <v>7</v>
      </c>
      <c r="G42" s="15">
        <v>7</v>
      </c>
      <c r="H42" s="15"/>
      <c r="I42" s="17"/>
      <c r="J42" s="17">
        <v>5</v>
      </c>
      <c r="K42" s="17">
        <v>6</v>
      </c>
      <c r="L42" s="19">
        <f t="shared" si="0"/>
        <v>6</v>
      </c>
      <c r="M42" s="17" t="s">
        <v>42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2405637400</v>
      </c>
      <c r="C43" s="24" t="s">
        <v>514</v>
      </c>
      <c r="D43" s="22" t="s">
        <v>515</v>
      </c>
      <c r="E43" s="13" t="s">
        <v>516</v>
      </c>
      <c r="F43" s="13">
        <v>7</v>
      </c>
      <c r="G43" s="13">
        <v>7.5</v>
      </c>
      <c r="H43" s="13"/>
      <c r="I43" s="16"/>
      <c r="J43" s="16">
        <v>5</v>
      </c>
      <c r="K43" s="16">
        <v>6</v>
      </c>
      <c r="L43" s="18">
        <f t="shared" si="0"/>
        <v>6.1</v>
      </c>
      <c r="M43" s="16" t="s">
        <v>42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2405637471</v>
      </c>
      <c r="C44" s="24" t="s">
        <v>517</v>
      </c>
      <c r="D44" s="22" t="s">
        <v>518</v>
      </c>
      <c r="E44" s="13" t="s">
        <v>519</v>
      </c>
      <c r="F44" s="13">
        <v>6</v>
      </c>
      <c r="G44" s="13">
        <v>7.5</v>
      </c>
      <c r="H44" s="13"/>
      <c r="I44" s="16"/>
      <c r="J44" s="16">
        <v>5</v>
      </c>
      <c r="K44" s="16">
        <v>6</v>
      </c>
      <c r="L44" s="18">
        <f t="shared" si="0"/>
        <v>5.9</v>
      </c>
      <c r="M44" s="16" t="s">
        <v>33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2405640617</v>
      </c>
      <c r="C45" s="24" t="s">
        <v>520</v>
      </c>
      <c r="D45" s="22" t="s">
        <v>255</v>
      </c>
      <c r="E45" s="13" t="s">
        <v>82</v>
      </c>
      <c r="F45" s="13">
        <v>8</v>
      </c>
      <c r="G45" s="13">
        <v>6</v>
      </c>
      <c r="H45" s="13"/>
      <c r="I45" s="16"/>
      <c r="J45" s="16">
        <v>5.5</v>
      </c>
      <c r="K45" s="16">
        <v>6.5</v>
      </c>
      <c r="L45" s="18">
        <f t="shared" si="0"/>
        <v>6.4</v>
      </c>
      <c r="M45" s="16" t="s">
        <v>22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2405641167</v>
      </c>
      <c r="C46" s="24" t="s">
        <v>521</v>
      </c>
      <c r="D46" s="22" t="s">
        <v>131</v>
      </c>
      <c r="E46" s="13" t="s">
        <v>522</v>
      </c>
      <c r="F46" s="13">
        <v>5</v>
      </c>
      <c r="G46" s="13">
        <v>6</v>
      </c>
      <c r="H46" s="13"/>
      <c r="I46" s="16"/>
      <c r="J46" s="16">
        <v>5</v>
      </c>
      <c r="K46" s="16">
        <v>6</v>
      </c>
      <c r="L46" s="18">
        <f t="shared" si="0"/>
        <v>5.6</v>
      </c>
      <c r="M46" s="16" t="s">
        <v>33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2405637618</v>
      </c>
      <c r="C47" s="25" t="s">
        <v>523</v>
      </c>
      <c r="D47" s="23" t="s">
        <v>524</v>
      </c>
      <c r="E47" s="15" t="s">
        <v>219</v>
      </c>
      <c r="F47" s="15">
        <v>6</v>
      </c>
      <c r="G47" s="15">
        <v>8.5</v>
      </c>
      <c r="H47" s="15"/>
      <c r="I47" s="17"/>
      <c r="J47" s="17">
        <v>5</v>
      </c>
      <c r="K47" s="17">
        <v>6</v>
      </c>
      <c r="L47" s="19">
        <f t="shared" si="0"/>
        <v>6.1</v>
      </c>
      <c r="M47" s="17" t="s">
        <v>33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2405642357</v>
      </c>
      <c r="C48" s="24" t="s">
        <v>525</v>
      </c>
      <c r="D48" s="22" t="s">
        <v>139</v>
      </c>
      <c r="E48" s="13" t="s">
        <v>309</v>
      </c>
      <c r="F48" s="13">
        <v>7</v>
      </c>
      <c r="G48" s="13">
        <v>7.5</v>
      </c>
      <c r="H48" s="13"/>
      <c r="I48" s="16"/>
      <c r="J48" s="16">
        <v>6.5</v>
      </c>
      <c r="K48" s="16">
        <v>9</v>
      </c>
      <c r="L48" s="18">
        <f t="shared" si="0"/>
        <v>7.8</v>
      </c>
      <c r="M48" s="16" t="s">
        <v>42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0">
        <v>42</v>
      </c>
      <c r="B49" s="13">
        <v>2405643179</v>
      </c>
      <c r="C49" s="24" t="s">
        <v>526</v>
      </c>
      <c r="D49" s="22" t="s">
        <v>359</v>
      </c>
      <c r="E49" s="13" t="s">
        <v>93</v>
      </c>
      <c r="F49" s="13">
        <v>5</v>
      </c>
      <c r="G49" s="13">
        <v>6.5</v>
      </c>
      <c r="H49" s="13"/>
      <c r="I49" s="16"/>
      <c r="J49" s="16">
        <v>5</v>
      </c>
      <c r="K49" s="16">
        <v>6</v>
      </c>
      <c r="L49" s="18">
        <f t="shared" si="0"/>
        <v>5.6</v>
      </c>
      <c r="M49" s="16" t="s">
        <v>33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20">
        <v>43</v>
      </c>
      <c r="B50" s="13">
        <v>2405643991</v>
      </c>
      <c r="C50" s="24" t="s">
        <v>527</v>
      </c>
      <c r="D50" s="22" t="s">
        <v>359</v>
      </c>
      <c r="E50" s="13" t="s">
        <v>528</v>
      </c>
      <c r="F50" s="13">
        <v>7</v>
      </c>
      <c r="G50" s="13">
        <v>9.5</v>
      </c>
      <c r="H50" s="13"/>
      <c r="I50" s="16"/>
      <c r="J50" s="16">
        <v>7</v>
      </c>
      <c r="K50" s="16">
        <v>8.5</v>
      </c>
      <c r="L50" s="18">
        <f t="shared" si="0"/>
        <v>8</v>
      </c>
      <c r="M50" s="16" t="s">
        <v>42</v>
      </c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21">
        <v>44</v>
      </c>
      <c r="B51" s="15">
        <v>2306545026</v>
      </c>
      <c r="C51" s="25" t="s">
        <v>529</v>
      </c>
      <c r="D51" s="23" t="s">
        <v>72</v>
      </c>
      <c r="E51" s="15" t="s">
        <v>530</v>
      </c>
      <c r="F51" s="15">
        <v>5</v>
      </c>
      <c r="G51" s="15">
        <v>5</v>
      </c>
      <c r="H51" s="15"/>
      <c r="I51" s="17"/>
      <c r="J51" s="17">
        <v>5</v>
      </c>
      <c r="K51" s="17">
        <v>7</v>
      </c>
      <c r="L51" s="19">
        <f t="shared" si="0"/>
        <v>5.9</v>
      </c>
      <c r="M51" s="17"/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2.75" customHeight="1" x14ac:dyDescent="0.35">
      <c r="A52" s="39" t="s">
        <v>141</v>
      </c>
      <c r="B52" s="40"/>
      <c r="C52" s="41"/>
      <c r="D52" s="41"/>
      <c r="E52" s="41"/>
      <c r="F52" s="40"/>
      <c r="G52" s="40"/>
      <c r="H52" s="40"/>
      <c r="I52" s="40"/>
      <c r="J52" s="42"/>
      <c r="K52" s="8"/>
      <c r="L52" s="9"/>
      <c r="M52" s="10"/>
      <c r="N52" s="11"/>
      <c r="O52" s="11"/>
      <c r="P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2.75" customHeight="1" x14ac:dyDescent="0.35">
      <c r="A53" s="43"/>
      <c r="B53" s="33"/>
      <c r="C53" s="44"/>
      <c r="D53" s="45"/>
      <c r="E53" s="45"/>
      <c r="F53" s="46"/>
      <c r="G53" s="46"/>
      <c r="H53" s="46"/>
      <c r="I53" s="46"/>
      <c r="J53" s="47"/>
    </row>
    <row r="54" spans="1:37" ht="12.75" customHeight="1" x14ac:dyDescent="0.35">
      <c r="A54" s="48" t="s">
        <v>142</v>
      </c>
      <c r="B54" s="33"/>
      <c r="C54" s="44"/>
      <c r="D54" s="45" t="s">
        <v>143</v>
      </c>
      <c r="E54" s="45"/>
      <c r="F54" s="46" t="str">
        <f>TEXT(COUNTIF(L8:L51,"&gt;="&amp;Q54),"#0")</f>
        <v>2</v>
      </c>
      <c r="G54" s="46"/>
      <c r="H54" s="31" t="s">
        <v>144</v>
      </c>
      <c r="I54" s="46" t="str">
        <f>ROUND(F54/IF(COUNTIF(L8:L51,"&gt;=0")=0,1,COUNTIF(L8:L51,"&gt;=0")),4)*100&amp;"%"</f>
        <v>4.55%</v>
      </c>
      <c r="J54" s="47"/>
      <c r="Q54" s="26">
        <v>7.95</v>
      </c>
    </row>
    <row r="55" spans="1:37" ht="12.75" customHeight="1" x14ac:dyDescent="0.35">
      <c r="A55" s="43" t="s">
        <v>145</v>
      </c>
      <c r="B55" s="33"/>
      <c r="C55" s="44"/>
      <c r="D55" s="45" t="s">
        <v>146</v>
      </c>
      <c r="E55" s="45"/>
      <c r="F55" s="46" t="str">
        <f>TEXT(COUNTIF(L8:L51,"&gt;="&amp;Q55)-F54,"#0")</f>
        <v>16</v>
      </c>
      <c r="G55" s="46"/>
      <c r="H55" s="31" t="s">
        <v>144</v>
      </c>
      <c r="I55" s="46" t="str">
        <f>ROUND(F55/IF(COUNTIF(L8:L51,"&gt;=0")=0,1,COUNTIF(L8:L51,"&gt;=0")),4)*100&amp;"%"</f>
        <v>36.36%</v>
      </c>
      <c r="J55" s="47"/>
      <c r="Q55" s="26">
        <v>6.45</v>
      </c>
    </row>
    <row r="56" spans="1:37" ht="12.75" customHeight="1" x14ac:dyDescent="0.35">
      <c r="A56" s="27"/>
      <c r="D56" s="45" t="s">
        <v>147</v>
      </c>
      <c r="E56" s="45"/>
      <c r="F56" s="46" t="str">
        <f>TEXT(COUNTIF(L8:L51,"&gt;="&amp;Q56)-F55-F54,"#0")</f>
        <v>26</v>
      </c>
      <c r="G56" s="46"/>
      <c r="H56" s="31" t="s">
        <v>144</v>
      </c>
      <c r="I56" s="46" t="str">
        <f>ROUND(F56/IF(COUNTIF(L8:L51,"&gt;=0")=0,1,COUNTIF(L8:L51,"&gt;=0")),4)*100&amp;"%"</f>
        <v>59.09%</v>
      </c>
      <c r="J56" s="47"/>
      <c r="Q56" s="26">
        <v>4.95</v>
      </c>
    </row>
    <row r="57" spans="1:37" ht="12.75" customHeight="1" x14ac:dyDescent="0.35">
      <c r="A57" s="28"/>
      <c r="B57" s="29"/>
      <c r="C57" s="30"/>
      <c r="D57" s="49" t="s">
        <v>148</v>
      </c>
      <c r="E57" s="49"/>
      <c r="F57" s="50" t="str">
        <f>TEXT(COUNTIF(L8:L51,"&gt;=0")-F53-F54-F55-F56,"#0")</f>
        <v>0</v>
      </c>
      <c r="G57" s="50"/>
      <c r="H57" s="32" t="s">
        <v>144</v>
      </c>
      <c r="I57" s="50" t="str">
        <f>ROUND(F57/IF(COUNTIF(L8:L51,"&gt;=0")=0,1,COUNTIF(L8:L51,"&gt;=0")),4)*100&amp;"%"</f>
        <v>0%</v>
      </c>
      <c r="J57" s="51"/>
    </row>
    <row r="65536" ht="14.5" x14ac:dyDescent="0.35"/>
  </sheetData>
  <mergeCells count="32">
    <mergeCell ref="D56:E56"/>
    <mergeCell ref="F56:G56"/>
    <mergeCell ref="I56:J56"/>
    <mergeCell ref="D57:E57"/>
    <mergeCell ref="F57:G57"/>
    <mergeCell ref="I57:J57"/>
    <mergeCell ref="A52:J53"/>
    <mergeCell ref="A54:C54"/>
    <mergeCell ref="D54:E54"/>
    <mergeCell ref="F54:G54"/>
    <mergeCell ref="I54:J54"/>
    <mergeCell ref="A55:C55"/>
    <mergeCell ref="D55:E55"/>
    <mergeCell ref="F55:G55"/>
    <mergeCell ref="I55:J55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66">
    <dataValidation type="list" allowBlank="1" showInputMessage="1" showErrorMessage="1" errorTitle="Thông báo" error="Bạn phải nhập [Đạt] = d, Đ, đ, 1   [Chưa đạt] = c, CĐ, cđ, 2" sqref="C5" xr:uid="{E488F604-B83A-4FD0-8393-30305201224D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876C124E-0D4F-4AC1-B6DA-6836EF7AED04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D318F792-2805-422E-9B16-6C59350FEB76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9508DD12-D420-418B-8053-F6BAE9E1C999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367068B9-CE0F-44BC-B82D-2B87A2E3EFC5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AF33CA69-9D94-45BF-ABF2-A57AAF268747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B58CA3EC-5F31-4EFF-8F4E-EB3275EE5875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090FBFF9-CF82-4250-92A9-F8131D348FEF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D32D1A2B-2301-43C1-AF1D-B10C098DF5B0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B04137BA-4C2C-47CE-B0F9-DB42ACFDD648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252A9FBE-94B7-4C12-A673-FB3651F724A0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9FD19C2E-55D6-4C4D-8253-81BE3F9783B6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38019531-2A4F-42F7-B634-A7C1ADAE0DA8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595964F7-5030-4248-9201-C0F06C575AEB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6BBB5CB8-D8B3-405E-BE82-50DCD98C5065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62AF4D22-02E9-4FD1-8A16-D5C44665307B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7413A0D7-BBF5-4260-B966-47F11B9CEA27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E5EE75E3-5478-4C2C-8178-790FE625ED27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85511319-9669-40A7-BBA5-FF444AFB978C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B95003C1-828E-4FDC-B8D9-8B89477C1ECC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59249E57-3A02-4912-9E39-82D585AD7EB2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FC626167-0D23-409C-91B9-299F797D7537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EEDD957D-7085-407E-BBFE-FCEA4221FFA4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73FAF76A-3A5B-4CD2-B889-6297B4781A54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56227E18-0887-47AA-9CB3-951B75218DBD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9AD0C7E1-AD33-4508-855C-3F1B0DC621CD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6E519B11-8A59-4290-8D87-3C7A838C77C8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55825955-3233-408D-A6C5-41512B5746D1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4FD997AD-8553-4958-BADE-A8DD495CB3A3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529414B8-44F8-4375-BABC-2466555EDF6A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31397CF8-1A37-439A-9F44-B46916562D24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FE3CCBC5-424A-452B-8156-BEEB33CC0A91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669FC05E-4A26-4419-B57E-7576B852851E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0E1E3A30-FCC4-4FFC-8078-AF73A35305F0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74AC6D59-709F-4CB3-AF36-813FBF944943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22F40B8D-8747-4A39-9E1E-939FED131021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AABC383D-DE7B-4D85-AF3B-6B10EF675FD7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12AAD13C-3503-41DE-8E3A-8166FB6B442A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9863638E-DEDB-487E-86BE-B26277AE6CEE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A753D1B1-C65F-47CD-9F2D-5928211AAA8E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7D9918D2-4414-48F5-8049-55BE748501C2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E02EB58D-C4E7-45FC-8F0C-5D3FD6902997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309D272E-D757-4840-B24B-912EFB02241B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1779C6DE-1B2A-4FDC-94C8-95524465E014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BE8E3940-D1F6-415D-836E-B7DA791E9447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6E76787A-4544-461B-AC9B-6A6A7A1914CC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E8738EB2-3A7A-4F25-9335-B9ED9EAA1AEF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0ADD5761-7119-4D66-9DBC-DF80B8F95BBA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0B080068-9158-458B-BD12-EEBF444F75AA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7BF51174-8489-4693-8284-A0E592356A18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1DFEEF01-12A9-42CF-BEF2-34F69446C15E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6C65F4D5-6A5D-4F62-A62F-955FF2A90E41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7DCD5D07-BB25-4F3C-8BCA-B0B2FC0FA132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BFBC7A66-1633-4235-9417-B0414A2DB296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7CFAE738-782E-45E6-A4FD-CB21F1D7D454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E194A305-CF5D-4FFC-91DA-58348FBB1C1E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7277712E-F6A2-4BE4-ABEF-47B64F997D00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39DD62E0-4A14-44CA-B137-1484DADF24E2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B0D09E33-83CA-43D1-907A-4D83A3F052A6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83F7F799-ED74-4194-984B-4CD87A7DD619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B951925E-A115-4379-8439-04FFEDBA675A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0B92B467-717F-4F4F-BA33-03A6380CA7D0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2E19EF8B-8D36-4D75-93A1-9F5853860367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96F9421A-DCA9-47AB-9219-0A7ED617BA63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0866A458-A63F-43B9-804C-30A4EF56F65E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5A3EF25F-0FFD-4EE4-856E-799F1E6A5877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FAD0AAB1-8955-4464-A0D2-08928B8D943F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9048982B-8DBC-49E5-870A-B6ABAC1BBC0E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94CF081A-314B-4DCE-A0B3-5AD2C6831BA3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A6231653-D583-4D21-8997-074A0AF3DE83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54785ACF-7500-43BD-917E-C926ECBC5730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17D2DF3A-3560-4036-B87F-C7EA02E4BC44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97D84D4A-E132-43B5-A5EA-2AF54E4C7541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89168630-5DC2-4B49-BEF3-66A4116EC893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7F3470B2-A5D1-4D3D-92D6-59457EC9664A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B232889A-E319-4960-95B3-51D68365CA02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41C3069A-7129-472F-A6DE-D5719BDC6FB6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E1875625-0088-46C8-BC9B-F7566F4A299A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12586ACD-0668-49E0-BEE8-C40F8864DA75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5025DBB0-EADA-4181-9116-0F8A4C0D5C45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16B0A414-7A70-4785-BB61-8F57D6EC86D6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7D345235-AF9B-4CD7-93F1-2DB063D00F91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5C109407-0DF5-4045-972A-CDAE35CD9D53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EB597D45-D90E-4956-8386-0E12123FD477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8F847605-FEF4-4BBB-87FE-0FDA5D798FAF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A4EDCCF4-901A-452C-9F70-856D2BE5996E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6A5E9C6B-CDF4-42C8-BD3E-E2ADB3B77F57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0182AC49-074F-4D61-94A9-58439FBF1F72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74D71F7C-B34C-4E0F-864D-F6A5615B1EE9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5AB921DF-9A9D-467F-836F-81F4F4AB92D8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9ABAC7F9-8417-44A8-8959-94E2C8E8C1F2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50C4DC97-C42B-45FE-B5C7-009EDF7B0207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B5802905-DE9F-4F8F-863A-56C368F35176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B81799B3-D2FB-4B09-8174-4E1C0BDE1A0B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A2267B89-1A39-409A-A62F-278D1D838656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85C36A33-EF11-40F4-9397-BC770074A487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30BC2737-5068-47E9-B0F8-13772A3DF566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E7D99069-B548-41A1-BA97-A75980549B6E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EFC64E31-F8F0-40A4-A5B9-1B2724A090F8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F22A192D-1B93-44A4-8750-21EEADA966DB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E7FA596A-32F2-42CD-ADD7-008605900341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4E97D4D8-2E9A-4297-8240-BC5CFAE1797F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D5002490-C516-4F8D-8EFA-001D794F985C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6CE56359-5880-4126-8A4F-4C68540FEC5C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8ADB7040-CB0F-47E1-94B6-FD705C0D4A3C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419351FC-9059-472C-A2D7-2910CCC45AEA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C09843CB-976A-4AF4-9643-6EF3B603B468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D891CD6B-68AC-47EA-89D6-15B360E476B8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61D9C40A-BCEF-422D-ACE5-DF678E1F9A3F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A80129FB-7CDD-4C94-BF33-BE929D083418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FBEEB6D6-1FDC-498E-A1A8-D672E57909BB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AD5B9FD5-5CA5-4425-8112-677D84947975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1AED6E3A-FC8A-444E-8872-4DC5DBBBEA61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15A27684-8C06-4C92-9D35-36790E8BD8B1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468B4787-5EBF-4261-AF42-C8306185EB34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7BADC8F1-2128-423E-AE22-B376CCBFE0E4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46D8542C-208B-482E-A9F0-B36EAAFFC15A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80EA10D2-B3DD-48D9-BE3A-8C3900200B93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5B648957-0F58-4FF3-9AE9-8C4A5E359D61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C731EEAA-19F5-40F3-B180-CC8B98F726A2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8D9686CF-1E2A-4C3F-ADEA-DF4CCFEE2D31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D3F1F51A-B570-4BD7-889B-037A2EE0CBB8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D3606CC4-2533-4963-A6D8-7E480F90B834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5AB32D4E-9915-4C99-96CC-0CBF83FB2F3C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3428B5FB-4142-4E60-8AE5-2AE5ED1FE7FF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424CEA24-5EE2-4878-9427-4C45A4DDFEA4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B7419A28-BC6E-44CF-AE44-B25D03AC0D6E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E64891CE-1A68-4E50-82EA-FC25C78CE082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69239EEC-D84E-49BF-9717-511CB7D9DEC4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BABF2AB5-C1DD-4802-8BA3-701EFBF383C8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A0A9DD49-C3FF-4E61-8C58-E8718D18C77A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185E2207-284F-4CF1-8A88-16646C58A0FE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66248662-9010-4456-843A-657186BD151C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02FE301E-0992-4EB9-A7F9-A2AC2243B8BF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0D4D36CC-905B-4E9D-8886-DD1F95281656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60E69079-44D8-4815-A042-B71AA691E3E0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C488F356-7EE1-4500-81F7-2903171B257A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3FCFC126-D150-4254-818B-CF934C3870AD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491D66EA-31B7-4AD2-A98D-9BDEFCADE48D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64AA5764-7A25-4CB8-97AB-E6D57562F99C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1B78CA50-9D9C-491A-85D2-BACB3BA10C01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F313A9EC-82E1-4677-85C4-4FC48D8EB361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5DB5664E-287D-4FFD-B27D-D2DA2B360A31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42FF52FD-6049-4525-AA87-4E08A45FB106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142993AA-47CB-4D75-AF6C-48091B85A925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E628237C-27B7-481E-B469-17BC1B307BA9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B2BA2F5D-D715-4F00-B32F-B133BE17240C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7DEA3B65-743C-4063-99F9-57E1D7900D6B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1EE618F7-AC54-4A86-A125-2048A2AD7F05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ED958A31-37D3-4C09-96AF-4EC2117B7701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003D082E-727D-40E9-985B-E6EE50DE9EC2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AF6090DA-D95A-48EC-B6BA-AC2764EE11A3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E2C2EA68-2045-48F0-B6BA-F6046866CEBC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B8E3EF5D-F9BA-428C-8858-FBCB27DA1B7B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0999BBFF-8928-482C-A488-CB8DB368683D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C2712A6F-02DF-4014-A9F8-B28577046054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11FF3D8C-E61B-4D0C-9D9C-5C4EB98C5E13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D9C2787E-0A15-4E27-83B1-23EB249EBA63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1170C2F6-6478-47C5-B4F8-0F1F8CC0E1B8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AE711E7E-2E63-47AA-A1C8-1A3D5020017F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92FA6D94-4E01-42AD-8DA1-720D4D3C5BE6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94BD2AC8-439A-4B86-AB35-BC68F49327B0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3FDC7304-610C-40DC-8176-3DDBFC8FB99A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83AC9CB6-6BF6-48C9-8C05-080D75F84206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EB280D66-2CBC-4451-8DF0-B1C79B8DE29C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49967DFF-963C-47AC-AEC6-246C53C87BF9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D3DD3F95-0386-46DF-9F8E-9ABD66102564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4F6E0C01-06A8-426D-9E03-623EA501F1FF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48DBD6F9-71FC-4719-BDA9-5E45D5051FA9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D7F29BBA-804E-4AB1-9362-1F56CB1E233C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E802FF2C-7E9F-4EBA-8B61-A9852AFBF926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ED04A271-C633-44CC-84D6-B948E19BFF68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B9B76A96-CF17-4B65-8F93-81B95B134536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55266518-429D-4059-BB18-DAFE79643259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EC14BEA1-CA41-4475-8355-AFBDC0905C73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53D2E927-76AE-4B64-8709-9A0E333E2D79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C6E6F8B4-53F4-4ADE-A131-E67EDE04DB4C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5D33E1B4-C213-474F-ABF1-6A1D7BC07CE9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5E756371-2E21-422A-ACBA-0DFBB7970C4C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6EE7C62E-D4D2-4BC5-BE3F-D86022C9CAD8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9EBB0364-F216-407B-AEA2-566AF66B8F7F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06E1386D-0428-4B4F-B5B3-E4E73756B31A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20AE717B-9D93-48C9-800A-6870B0256ABC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29BD13F0-A0C5-40F6-86FB-C82031F45FA0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7F4A33CA-C682-4653-A6C8-FC2B5BB91857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735D68A7-6972-4A55-BCF2-729E2614EB63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6FDBFC06-5A05-4D4A-8638-04989250C7C2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D5ECEAD1-197C-48F4-9A62-40E1B7E2979A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64DDDAC4-9E2A-4A30-93B8-3545F2BD9F1E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2BE638FF-5440-4C84-ACE0-281C79ADF588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75006CE7-01F7-42DE-B35A-8FF618ED09DB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C53CF896-BFF5-415F-8042-303EA80944E5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917D5C5B-747B-459D-8A45-84B3BC52DDA3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04B5A6FA-784B-44DD-94D1-13CCF96BE0FC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8F8F61FE-81FA-4EF7-B32F-CDCC9524DB98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A4B89860-793D-449B-9BEA-08CA71CF9A03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EED6FEB0-3326-4C38-A4FB-58D53C373C15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B5E019EF-D13E-41E7-8242-42C9114CC4E5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8C16ABF3-6BB3-4115-A6CA-A811E9748D1C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5B2971AB-660C-4E45-BDDB-F99E22524F8D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77E79A24-A0A5-4248-9E0C-A574C30F6C58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2465400B-8B48-42A5-8435-C2C8B5AB10A7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DA032DF2-3DB4-4660-BF1D-609DBB2B2C62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2C899C4F-5344-4B86-B21E-7C665046E113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9323419F-3248-440F-8C4C-D36E8DDBD3E9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CD6A198C-F161-42E4-8CFC-B5AA3EB9E063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BC7808EC-7FAF-4D9F-AB21-ADAB2D25B417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CB8A5401-BC82-4FFA-A408-A1BD76A6C3B7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5F6EFF63-D5A1-425C-B9ED-C86D0C102BFD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89FBC737-7BCB-4A3B-B4F7-27472EF6EC18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E52DE9E7-004D-455F-8805-D02755956E35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BA7F1BB6-C972-4825-BBF7-AD4EA788B9D0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35E252D0-DF9E-4C3D-AEEE-8E3C08023E2B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06F8A3ED-735E-4990-8BD0-12CB298064AE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6511B5CD-B220-412F-B30C-3AD850E06345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17697456-F4C8-40A8-B103-A5537649D30B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5078101E-B985-4F63-B2F2-A9B93D5E6274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739F1AFC-CD99-4C7F-8922-F8B5366567E4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3D2B2618-DF20-449A-99E0-9DC4E6FE7331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7E99749D-3F33-4423-A454-C185B35CDC49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EBFCA282-E3E0-49F6-AB5C-129BFF368039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EBC4D76C-40C4-419E-958E-164A3C064E8D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8CDC0112-539A-4966-A3EF-E43D67424708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14CE6C8A-F458-44E7-853F-428E3A9F5F7C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BFCF3EB5-1387-4C9C-8853-D2A2F9276F7F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F4EED8A9-721D-42C6-B82A-BDBEA17FF00C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10750C5F-DDF6-44F5-B42E-D225F64024C4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EF89CCA5-62D2-41CA-B59C-CA8D5E1FE773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DBA833AC-E608-4D00-8A17-8D7513A229A6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5AB6AF2D-99C8-41F8-8F60-0CB91C80A185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96A03B03-15C7-4EED-8B26-05D56AE2EB2C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80C9D156-CF57-4C26-8D8D-B90DA445AB81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9B8A6C22-5F43-4FDD-93DE-FB19AEC5BD91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4DD60652-B478-4EBC-A1E8-F2FA24E31843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F6DB8F68-0399-46B2-B562-EF657D12672D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09DA6ADC-3099-4353-AAD5-9B0E79AE8F3D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69491097-0307-42D4-85F3-EB21458559CC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C157CEE1-D212-4821-86B1-19D819014547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48A0757A-BC16-4F3B-A91A-C577A5BC0657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86E56FF2-E696-4796-9C5A-16441F4FBCA8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5D5BA784-BE68-4036-BC19-CAA3E1E33E47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65668C73-A817-4311-A18B-9770AC60ED0D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5DB4249B-340D-4110-AB96-74A99423584E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D9155080-55BD-4E7B-8B4F-2DA26903C96D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0A165F28-9951-44C7-8884-114B7D153ED7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29037D5D-1901-4A69-BD57-A27ADB7928AF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FD92C9DD-FC4A-424D-96FB-6C088E9EFCC5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6F9D8975-CB74-4A96-90AD-50B0C0D16A23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5EAC202A-7277-4801-ADDC-66248C9656FC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3222E8F6-B44C-4BF3-9404-409F85DEB801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A999782C-9EAA-46D7-924E-F3074AC48659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DFB8B893-1D62-4B63-84C0-628039390E40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32E8561A-CDD6-4FBC-8493-686229253D54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305E4BD4-B229-4BB0-8809-0173754F6A4B}">
      <formula1>0</formula1>
      <formula2>10</formula2>
    </dataValidation>
    <dataValidation type="decimal" allowBlank="1" showInputMessage="1" showErrorMessage="1" errorTitle="Thông báo" error="Giá trị con điểm phải là số &gt;=0 và &lt;=10 " sqref="F50" xr:uid="{45E46A4E-FD0B-4CD3-88CC-FC6666BEA9C7}">
      <formula1>0</formula1>
      <formula2>10</formula2>
    </dataValidation>
    <dataValidation type="decimal" allowBlank="1" showInputMessage="1" showErrorMessage="1" errorTitle="Thông báo" error="Giá trị con điểm phải là số &gt;=0 và &lt;=10 " sqref="G50" xr:uid="{8CB51BD1-6164-40D1-8D97-2B2341F52377}">
      <formula1>0</formula1>
      <formula2>10</formula2>
    </dataValidation>
    <dataValidation type="decimal" allowBlank="1" showInputMessage="1" showErrorMessage="1" errorTitle="Thông báo" error="Giá trị con điểm phải là số &gt;=0 và &lt;=10 " sqref="H50" xr:uid="{2B356F02-72A5-4356-B10B-66731F7F1371}">
      <formula1>0</formula1>
      <formula2>10</formula2>
    </dataValidation>
    <dataValidation type="decimal" allowBlank="1" showInputMessage="1" showErrorMessage="1" errorTitle="Thông báo" error="Giá trị con điểm phải là số &gt;=0 và &lt;=10 " sqref="I50" xr:uid="{81BA9BD3-DD51-4530-987F-26B9762F7873}">
      <formula1>0</formula1>
      <formula2>10</formula2>
    </dataValidation>
    <dataValidation type="decimal" allowBlank="1" showInputMessage="1" showErrorMessage="1" errorTitle="Thông báo" error="Giá trị con điểm phải là số &gt;=0 và &lt;=10 " sqref="J50" xr:uid="{5A5C75BA-396C-4B4D-B009-A42578070517}">
      <formula1>0</formula1>
      <formula2>10</formula2>
    </dataValidation>
    <dataValidation type="decimal" allowBlank="1" showInputMessage="1" showErrorMessage="1" errorTitle="Thông báo" error="Giá trị con điểm phải là số &gt;=0 và &lt;=10 " sqref="K50" xr:uid="{E5ACFDA6-8B0C-4E2A-85BC-0C1CFC61AE85}">
      <formula1>0</formula1>
      <formula2>10</formula2>
    </dataValidation>
    <dataValidation type="decimal" allowBlank="1" showInputMessage="1" showErrorMessage="1" errorTitle="Thông báo" error="Giá trị con điểm phải là số &gt;=0 và &lt;=10 " sqref="F51" xr:uid="{BFA33F37-4414-4CC7-AE49-269E4DC9BE16}">
      <formula1>0</formula1>
      <formula2>10</formula2>
    </dataValidation>
    <dataValidation type="decimal" allowBlank="1" showInputMessage="1" showErrorMessage="1" errorTitle="Thông báo" error="Giá trị con điểm phải là số &gt;=0 và &lt;=10 " sqref="G51" xr:uid="{CDEA6E23-E012-49C0-BEA9-1C5BD12D42C5}">
      <formula1>0</formula1>
      <formula2>10</formula2>
    </dataValidation>
    <dataValidation type="decimal" allowBlank="1" showInputMessage="1" showErrorMessage="1" errorTitle="Thông báo" error="Giá trị con điểm phải là số &gt;=0 và &lt;=10 " sqref="H51" xr:uid="{DA36C031-8A16-434B-9398-E20A0DB2C7E8}">
      <formula1>0</formula1>
      <formula2>10</formula2>
    </dataValidation>
    <dataValidation type="decimal" allowBlank="1" showInputMessage="1" showErrorMessage="1" errorTitle="Thông báo" error="Giá trị con điểm phải là số &gt;=0 và &lt;=10 " sqref="I51" xr:uid="{DB1CCB7E-DAF0-43C3-8B51-37A83199D594}">
      <formula1>0</formula1>
      <formula2>10</formula2>
    </dataValidation>
    <dataValidation type="decimal" allowBlank="1" showInputMessage="1" showErrorMessage="1" errorTitle="Thông báo" error="Giá trị con điểm phải là số &gt;=0 và &lt;=10 " sqref="J51" xr:uid="{0438E295-74E6-4FA9-9B52-26A0E3CBE73B}">
      <formula1>0</formula1>
      <formula2>10</formula2>
    </dataValidation>
    <dataValidation type="decimal" allowBlank="1" showInputMessage="1" showErrorMessage="1" errorTitle="Thông báo" error="Giá trị con điểm phải là số &gt;=0 và &lt;=10 " sqref="K51" xr:uid="{E2275D95-B17E-4165-AE7F-DF0FE12F6B19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1433-0A16-4844-A11E-2A583D10F4C5}">
  <dimension ref="A1:AK65536"/>
  <sheetViews>
    <sheetView showRuler="0" zoomScaleNormal="100" workbookViewId="0">
      <selection activeCell="D52" sqref="D52:J56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531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2405687262</v>
      </c>
      <c r="C8" s="24" t="s">
        <v>532</v>
      </c>
      <c r="D8" s="22" t="s">
        <v>24</v>
      </c>
      <c r="E8" s="13" t="s">
        <v>533</v>
      </c>
      <c r="F8" s="13">
        <v>6</v>
      </c>
      <c r="G8" s="13">
        <v>7.5</v>
      </c>
      <c r="H8" s="13"/>
      <c r="I8" s="16"/>
      <c r="J8" s="16">
        <v>5.5</v>
      </c>
      <c r="K8" s="16">
        <v>5</v>
      </c>
      <c r="L8" s="18">
        <f t="shared" ref="L8:L50" si="0">IF((COUNT(F8:I8)+COUNT(J8:J8)*2+COUNT(K8:K8)*3),ROUND((SUM(F8:I8)+SUM(J8:J8)*2+SUM(K8:K8)*3)/(COUNT(F8:I8)+COUNT(J8:J8)*2+COUNT(K8:K8)*3),1),"")</f>
        <v>5.6</v>
      </c>
      <c r="M8" s="16" t="s">
        <v>33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2405690014</v>
      </c>
      <c r="C9" s="24" t="s">
        <v>534</v>
      </c>
      <c r="D9" s="22" t="s">
        <v>535</v>
      </c>
      <c r="E9" s="13" t="s">
        <v>536</v>
      </c>
      <c r="F9" s="13">
        <v>5</v>
      </c>
      <c r="G9" s="13">
        <v>8</v>
      </c>
      <c r="H9" s="13"/>
      <c r="I9" s="16"/>
      <c r="J9" s="16">
        <v>7</v>
      </c>
      <c r="K9" s="16">
        <v>8.5</v>
      </c>
      <c r="L9" s="18">
        <f t="shared" si="0"/>
        <v>7.5</v>
      </c>
      <c r="M9" s="16" t="s">
        <v>274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2405556144</v>
      </c>
      <c r="C10" s="24" t="s">
        <v>503</v>
      </c>
      <c r="D10" s="22" t="s">
        <v>281</v>
      </c>
      <c r="E10" s="13" t="s">
        <v>91</v>
      </c>
      <c r="F10" s="13">
        <v>5</v>
      </c>
      <c r="G10" s="13">
        <v>6</v>
      </c>
      <c r="H10" s="13"/>
      <c r="I10" s="16"/>
      <c r="J10" s="16">
        <v>5</v>
      </c>
      <c r="K10" s="16">
        <v>6</v>
      </c>
      <c r="L10" s="18">
        <f t="shared" si="0"/>
        <v>5.6</v>
      </c>
      <c r="M10" s="16" t="s">
        <v>460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2405559269</v>
      </c>
      <c r="C11" s="24" t="s">
        <v>537</v>
      </c>
      <c r="D11" s="22" t="s">
        <v>162</v>
      </c>
      <c r="E11" s="13" t="s">
        <v>538</v>
      </c>
      <c r="F11" s="13">
        <v>6</v>
      </c>
      <c r="G11" s="13">
        <v>9</v>
      </c>
      <c r="H11" s="13"/>
      <c r="I11" s="16"/>
      <c r="J11" s="16">
        <v>6.5</v>
      </c>
      <c r="K11" s="16">
        <v>6.5</v>
      </c>
      <c r="L11" s="18">
        <f t="shared" si="0"/>
        <v>6.8</v>
      </c>
      <c r="M11" s="16" t="s">
        <v>33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2405638017</v>
      </c>
      <c r="C12" s="25" t="s">
        <v>539</v>
      </c>
      <c r="D12" s="23" t="s">
        <v>540</v>
      </c>
      <c r="E12" s="15" t="s">
        <v>541</v>
      </c>
      <c r="F12" s="15">
        <v>5</v>
      </c>
      <c r="G12" s="15">
        <v>5</v>
      </c>
      <c r="H12" s="15"/>
      <c r="I12" s="17"/>
      <c r="J12" s="17">
        <v>5</v>
      </c>
      <c r="K12" s="17">
        <v>7.5</v>
      </c>
      <c r="L12" s="19">
        <f t="shared" si="0"/>
        <v>6.1</v>
      </c>
      <c r="M12" s="17" t="s">
        <v>460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2405690358</v>
      </c>
      <c r="C13" s="24" t="s">
        <v>542</v>
      </c>
      <c r="D13" s="22" t="s">
        <v>543</v>
      </c>
      <c r="E13" s="13" t="s">
        <v>544</v>
      </c>
      <c r="F13" s="13">
        <v>5</v>
      </c>
      <c r="G13" s="13">
        <v>5</v>
      </c>
      <c r="H13" s="13"/>
      <c r="I13" s="16"/>
      <c r="J13" s="16">
        <v>5</v>
      </c>
      <c r="K13" s="16">
        <v>6</v>
      </c>
      <c r="L13" s="18">
        <f t="shared" si="0"/>
        <v>5.4</v>
      </c>
      <c r="M13" s="16" t="s">
        <v>274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2405638716</v>
      </c>
      <c r="C14" s="24" t="s">
        <v>545</v>
      </c>
      <c r="D14" s="22" t="s">
        <v>175</v>
      </c>
      <c r="E14" s="13" t="s">
        <v>546</v>
      </c>
      <c r="F14" s="13">
        <v>5</v>
      </c>
      <c r="G14" s="13">
        <v>5</v>
      </c>
      <c r="H14" s="13"/>
      <c r="I14" s="16"/>
      <c r="J14" s="16">
        <v>6.5</v>
      </c>
      <c r="K14" s="16">
        <v>5</v>
      </c>
      <c r="L14" s="18">
        <f t="shared" si="0"/>
        <v>5.4</v>
      </c>
      <c r="M14" s="16" t="s">
        <v>33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2405639392</v>
      </c>
      <c r="C15" s="24" t="s">
        <v>61</v>
      </c>
      <c r="D15" s="22" t="s">
        <v>547</v>
      </c>
      <c r="E15" s="13" t="s">
        <v>548</v>
      </c>
      <c r="F15" s="13">
        <v>5</v>
      </c>
      <c r="G15" s="13">
        <v>5</v>
      </c>
      <c r="H15" s="13"/>
      <c r="I15" s="16"/>
      <c r="J15" s="16">
        <v>5</v>
      </c>
      <c r="K15" s="16">
        <v>5.5</v>
      </c>
      <c r="L15" s="18">
        <f t="shared" si="0"/>
        <v>5.2</v>
      </c>
      <c r="M15" s="16" t="s">
        <v>274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2405639946</v>
      </c>
      <c r="C16" s="24" t="s">
        <v>319</v>
      </c>
      <c r="D16" s="22" t="s">
        <v>50</v>
      </c>
      <c r="E16" s="13" t="s">
        <v>549</v>
      </c>
      <c r="F16" s="13">
        <v>5</v>
      </c>
      <c r="G16" s="13">
        <v>10</v>
      </c>
      <c r="H16" s="13"/>
      <c r="I16" s="16"/>
      <c r="J16" s="16">
        <v>5</v>
      </c>
      <c r="K16" s="16">
        <v>9.5</v>
      </c>
      <c r="L16" s="18">
        <f t="shared" si="0"/>
        <v>7.6</v>
      </c>
      <c r="M16" s="16" t="s">
        <v>460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2405640783</v>
      </c>
      <c r="C17" s="25" t="s">
        <v>550</v>
      </c>
      <c r="D17" s="23" t="s">
        <v>50</v>
      </c>
      <c r="E17" s="15" t="s">
        <v>551</v>
      </c>
      <c r="F17" s="15">
        <v>5</v>
      </c>
      <c r="G17" s="15">
        <v>9.5</v>
      </c>
      <c r="H17" s="15"/>
      <c r="I17" s="17"/>
      <c r="J17" s="17">
        <v>5</v>
      </c>
      <c r="K17" s="17">
        <v>9</v>
      </c>
      <c r="L17" s="19">
        <f t="shared" si="0"/>
        <v>7.4</v>
      </c>
      <c r="M17" s="17" t="s">
        <v>33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2405686566</v>
      </c>
      <c r="C18" s="24" t="s">
        <v>552</v>
      </c>
      <c r="D18" s="22" t="s">
        <v>53</v>
      </c>
      <c r="E18" s="13" t="s">
        <v>553</v>
      </c>
      <c r="F18" s="13">
        <v>7</v>
      </c>
      <c r="G18" s="13">
        <v>7.5</v>
      </c>
      <c r="H18" s="13"/>
      <c r="I18" s="16"/>
      <c r="J18" s="16">
        <v>5</v>
      </c>
      <c r="K18" s="16">
        <v>6</v>
      </c>
      <c r="L18" s="18">
        <f t="shared" si="0"/>
        <v>6.1</v>
      </c>
      <c r="M18" s="16" t="s">
        <v>42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2405644169</v>
      </c>
      <c r="C19" s="24" t="s">
        <v>554</v>
      </c>
      <c r="D19" s="22" t="s">
        <v>555</v>
      </c>
      <c r="E19" s="13" t="s">
        <v>399</v>
      </c>
      <c r="F19" s="13">
        <v>8</v>
      </c>
      <c r="G19" s="13">
        <v>9</v>
      </c>
      <c r="H19" s="13"/>
      <c r="I19" s="16"/>
      <c r="J19" s="16">
        <v>6</v>
      </c>
      <c r="K19" s="16">
        <v>6</v>
      </c>
      <c r="L19" s="18">
        <f t="shared" si="0"/>
        <v>6.7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2405646171</v>
      </c>
      <c r="C20" s="24" t="s">
        <v>556</v>
      </c>
      <c r="D20" s="22" t="s">
        <v>190</v>
      </c>
      <c r="E20" s="13" t="s">
        <v>557</v>
      </c>
      <c r="F20" s="13">
        <v>6</v>
      </c>
      <c r="G20" s="13">
        <v>9</v>
      </c>
      <c r="H20" s="13"/>
      <c r="I20" s="16"/>
      <c r="J20" s="16">
        <v>7.5</v>
      </c>
      <c r="K20" s="16">
        <v>5</v>
      </c>
      <c r="L20" s="18">
        <f t="shared" si="0"/>
        <v>6.4</v>
      </c>
      <c r="M20" s="16" t="s">
        <v>33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2405647668</v>
      </c>
      <c r="C21" s="24" t="s">
        <v>382</v>
      </c>
      <c r="D21" s="22" t="s">
        <v>190</v>
      </c>
      <c r="E21" s="13" t="s">
        <v>413</v>
      </c>
      <c r="F21" s="13">
        <v>6</v>
      </c>
      <c r="G21" s="13">
        <v>7.5</v>
      </c>
      <c r="H21" s="13"/>
      <c r="I21" s="16"/>
      <c r="J21" s="16">
        <v>7</v>
      </c>
      <c r="K21" s="16">
        <v>5</v>
      </c>
      <c r="L21" s="18">
        <f t="shared" si="0"/>
        <v>6.1</v>
      </c>
      <c r="M21" s="16" t="s">
        <v>33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2405648807</v>
      </c>
      <c r="C22" s="25" t="s">
        <v>558</v>
      </c>
      <c r="D22" s="23" t="s">
        <v>302</v>
      </c>
      <c r="E22" s="15" t="s">
        <v>559</v>
      </c>
      <c r="F22" s="15">
        <v>5</v>
      </c>
      <c r="G22" s="15">
        <v>5</v>
      </c>
      <c r="H22" s="15"/>
      <c r="I22" s="17"/>
      <c r="J22" s="17">
        <v>5.5</v>
      </c>
      <c r="K22" s="17">
        <v>6</v>
      </c>
      <c r="L22" s="19">
        <f t="shared" si="0"/>
        <v>5.6</v>
      </c>
      <c r="M22" s="17" t="s">
        <v>460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2405683271</v>
      </c>
      <c r="C23" s="24" t="s">
        <v>560</v>
      </c>
      <c r="D23" s="22" t="s">
        <v>64</v>
      </c>
      <c r="E23" s="13" t="s">
        <v>561</v>
      </c>
      <c r="F23" s="13">
        <v>8</v>
      </c>
      <c r="G23" s="13">
        <v>8.5</v>
      </c>
      <c r="H23" s="13"/>
      <c r="I23" s="16"/>
      <c r="J23" s="16">
        <v>9</v>
      </c>
      <c r="K23" s="16">
        <v>5.5</v>
      </c>
      <c r="L23" s="18">
        <f t="shared" si="0"/>
        <v>7.3</v>
      </c>
      <c r="M23" s="16" t="s">
        <v>22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2405215113</v>
      </c>
      <c r="C24" s="24" t="s">
        <v>562</v>
      </c>
      <c r="D24" s="22" t="s">
        <v>563</v>
      </c>
      <c r="E24" s="13" t="s">
        <v>564</v>
      </c>
      <c r="F24" s="13">
        <v>5</v>
      </c>
      <c r="G24" s="13">
        <v>5</v>
      </c>
      <c r="H24" s="13"/>
      <c r="I24" s="16"/>
      <c r="J24" s="16">
        <v>7.5</v>
      </c>
      <c r="K24" s="16">
        <v>9.5</v>
      </c>
      <c r="L24" s="18">
        <f t="shared" si="0"/>
        <v>7.6</v>
      </c>
      <c r="M24" s="16" t="s">
        <v>33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2405686089</v>
      </c>
      <c r="C25" s="24" t="s">
        <v>565</v>
      </c>
      <c r="D25" s="22" t="s">
        <v>566</v>
      </c>
      <c r="E25" s="13" t="s">
        <v>101</v>
      </c>
      <c r="F25" s="13">
        <v>6</v>
      </c>
      <c r="G25" s="13">
        <v>8</v>
      </c>
      <c r="H25" s="13"/>
      <c r="I25" s="16"/>
      <c r="J25" s="16">
        <v>7</v>
      </c>
      <c r="K25" s="16">
        <v>8.5</v>
      </c>
      <c r="L25" s="18">
        <f t="shared" si="0"/>
        <v>7.6</v>
      </c>
      <c r="M25" s="16" t="s">
        <v>33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2405649700</v>
      </c>
      <c r="C26" s="24" t="s">
        <v>567</v>
      </c>
      <c r="D26" s="22" t="s">
        <v>568</v>
      </c>
      <c r="E26" s="13" t="s">
        <v>569</v>
      </c>
      <c r="F26" s="13">
        <v>5</v>
      </c>
      <c r="G26" s="13">
        <v>6.5</v>
      </c>
      <c r="H26" s="13"/>
      <c r="I26" s="16"/>
      <c r="J26" s="16">
        <v>5</v>
      </c>
      <c r="K26" s="16">
        <v>6.5</v>
      </c>
      <c r="L26" s="18">
        <f t="shared" si="0"/>
        <v>5.9</v>
      </c>
      <c r="M26" s="16" t="s">
        <v>460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2405651225</v>
      </c>
      <c r="C27" s="25" t="s">
        <v>570</v>
      </c>
      <c r="D27" s="23" t="s">
        <v>305</v>
      </c>
      <c r="E27" s="15" t="s">
        <v>60</v>
      </c>
      <c r="F27" s="15">
        <v>6</v>
      </c>
      <c r="G27" s="15">
        <v>8.5</v>
      </c>
      <c r="H27" s="15"/>
      <c r="I27" s="17"/>
      <c r="J27" s="17">
        <v>5</v>
      </c>
      <c r="K27" s="17">
        <v>5</v>
      </c>
      <c r="L27" s="19">
        <f t="shared" si="0"/>
        <v>5.6</v>
      </c>
      <c r="M27" s="17" t="s">
        <v>33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2405650341</v>
      </c>
      <c r="C28" s="24" t="s">
        <v>571</v>
      </c>
      <c r="D28" s="22" t="s">
        <v>305</v>
      </c>
      <c r="E28" s="13" t="s">
        <v>25</v>
      </c>
      <c r="F28" s="13">
        <v>6</v>
      </c>
      <c r="G28" s="13">
        <v>8.5</v>
      </c>
      <c r="H28" s="13"/>
      <c r="I28" s="16"/>
      <c r="J28" s="16">
        <v>8</v>
      </c>
      <c r="K28" s="16">
        <v>8.5</v>
      </c>
      <c r="L28" s="18">
        <f t="shared" si="0"/>
        <v>8</v>
      </c>
      <c r="M28" s="16" t="s">
        <v>33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2405690785</v>
      </c>
      <c r="C29" s="24" t="s">
        <v>572</v>
      </c>
      <c r="D29" s="22" t="s">
        <v>72</v>
      </c>
      <c r="E29" s="13" t="s">
        <v>573</v>
      </c>
      <c r="F29" s="13">
        <v>5</v>
      </c>
      <c r="G29" s="13">
        <v>5</v>
      </c>
      <c r="H29" s="13"/>
      <c r="I29" s="16"/>
      <c r="J29" s="16">
        <v>6</v>
      </c>
      <c r="K29" s="16">
        <v>8.5</v>
      </c>
      <c r="L29" s="18">
        <f t="shared" si="0"/>
        <v>6.8</v>
      </c>
      <c r="M29" s="16" t="s">
        <v>460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2405688386</v>
      </c>
      <c r="C30" s="24" t="s">
        <v>574</v>
      </c>
      <c r="D30" s="22" t="s">
        <v>75</v>
      </c>
      <c r="E30" s="13" t="s">
        <v>575</v>
      </c>
      <c r="F30" s="13">
        <v>6</v>
      </c>
      <c r="G30" s="13">
        <v>5</v>
      </c>
      <c r="H30" s="13"/>
      <c r="I30" s="16"/>
      <c r="J30" s="16">
        <v>6</v>
      </c>
      <c r="K30" s="16">
        <v>6</v>
      </c>
      <c r="L30" s="18">
        <f t="shared" si="0"/>
        <v>5.9</v>
      </c>
      <c r="M30" s="16" t="s">
        <v>33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2405652417</v>
      </c>
      <c r="C31" s="24" t="s">
        <v>83</v>
      </c>
      <c r="D31" s="22" t="s">
        <v>576</v>
      </c>
      <c r="E31" s="13" t="s">
        <v>577</v>
      </c>
      <c r="F31" s="13">
        <v>7</v>
      </c>
      <c r="G31" s="13">
        <v>7.5</v>
      </c>
      <c r="H31" s="13"/>
      <c r="I31" s="16"/>
      <c r="J31" s="16">
        <v>7</v>
      </c>
      <c r="K31" s="16">
        <v>8.5</v>
      </c>
      <c r="L31" s="18">
        <f t="shared" si="0"/>
        <v>7.7</v>
      </c>
      <c r="M31" s="16" t="s">
        <v>42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2405655532</v>
      </c>
      <c r="C32" s="25" t="s">
        <v>578</v>
      </c>
      <c r="D32" s="23" t="s">
        <v>103</v>
      </c>
      <c r="E32" s="15" t="s">
        <v>279</v>
      </c>
      <c r="F32" s="15">
        <v>5</v>
      </c>
      <c r="G32" s="15">
        <v>8</v>
      </c>
      <c r="H32" s="15"/>
      <c r="I32" s="17"/>
      <c r="J32" s="17">
        <v>9</v>
      </c>
      <c r="K32" s="17">
        <v>8</v>
      </c>
      <c r="L32" s="19">
        <f t="shared" si="0"/>
        <v>7.9</v>
      </c>
      <c r="M32" s="17" t="s">
        <v>33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2405655081</v>
      </c>
      <c r="C33" s="24" t="s">
        <v>55</v>
      </c>
      <c r="D33" s="22" t="s">
        <v>103</v>
      </c>
      <c r="E33" s="13" t="s">
        <v>579</v>
      </c>
      <c r="F33" s="13">
        <v>8</v>
      </c>
      <c r="G33" s="13">
        <v>8</v>
      </c>
      <c r="H33" s="13"/>
      <c r="I33" s="16"/>
      <c r="J33" s="16">
        <v>6</v>
      </c>
      <c r="K33" s="16">
        <v>6</v>
      </c>
      <c r="L33" s="18">
        <f t="shared" si="0"/>
        <v>6.6</v>
      </c>
      <c r="M33" s="16" t="s">
        <v>22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2405655889</v>
      </c>
      <c r="C34" s="24" t="s">
        <v>580</v>
      </c>
      <c r="D34" s="22" t="s">
        <v>105</v>
      </c>
      <c r="E34" s="13" t="s">
        <v>581</v>
      </c>
      <c r="F34" s="13">
        <v>6</v>
      </c>
      <c r="G34" s="13">
        <v>7.5</v>
      </c>
      <c r="H34" s="13"/>
      <c r="I34" s="16"/>
      <c r="J34" s="16">
        <v>5.5</v>
      </c>
      <c r="K34" s="16">
        <v>7</v>
      </c>
      <c r="L34" s="18">
        <f t="shared" si="0"/>
        <v>6.5</v>
      </c>
      <c r="M34" s="16" t="s">
        <v>42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2405656660</v>
      </c>
      <c r="C35" s="24" t="s">
        <v>582</v>
      </c>
      <c r="D35" s="22" t="s">
        <v>111</v>
      </c>
      <c r="E35" s="13" t="s">
        <v>263</v>
      </c>
      <c r="F35" s="13">
        <v>9</v>
      </c>
      <c r="G35" s="13">
        <v>8.5</v>
      </c>
      <c r="H35" s="13"/>
      <c r="I35" s="16"/>
      <c r="J35" s="16">
        <v>10</v>
      </c>
      <c r="K35" s="16">
        <v>8.5</v>
      </c>
      <c r="L35" s="18">
        <f t="shared" si="0"/>
        <v>9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2405657387</v>
      </c>
      <c r="C36" s="24" t="s">
        <v>583</v>
      </c>
      <c r="D36" s="22" t="s">
        <v>111</v>
      </c>
      <c r="E36" s="13" t="s">
        <v>584</v>
      </c>
      <c r="F36" s="13">
        <v>5</v>
      </c>
      <c r="G36" s="13">
        <v>6.5</v>
      </c>
      <c r="H36" s="13"/>
      <c r="I36" s="16"/>
      <c r="J36" s="16">
        <v>5.5</v>
      </c>
      <c r="K36" s="16">
        <v>6</v>
      </c>
      <c r="L36" s="18">
        <f t="shared" si="0"/>
        <v>5.8</v>
      </c>
      <c r="M36" s="16" t="s">
        <v>274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2405658755</v>
      </c>
      <c r="C37" s="25" t="s">
        <v>585</v>
      </c>
      <c r="D37" s="23" t="s">
        <v>586</v>
      </c>
      <c r="E37" s="15" t="s">
        <v>587</v>
      </c>
      <c r="F37" s="15">
        <v>7.9</v>
      </c>
      <c r="G37" s="15">
        <v>7.5</v>
      </c>
      <c r="H37" s="15"/>
      <c r="I37" s="17"/>
      <c r="J37" s="17">
        <v>6.5</v>
      </c>
      <c r="K37" s="17">
        <v>5</v>
      </c>
      <c r="L37" s="19">
        <f t="shared" si="0"/>
        <v>6.2</v>
      </c>
      <c r="M37" s="17" t="s">
        <v>42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2405659285</v>
      </c>
      <c r="C38" s="24" t="s">
        <v>588</v>
      </c>
      <c r="D38" s="22" t="s">
        <v>501</v>
      </c>
      <c r="E38" s="13" t="s">
        <v>282</v>
      </c>
      <c r="F38" s="13">
        <v>8</v>
      </c>
      <c r="G38" s="13">
        <v>10</v>
      </c>
      <c r="H38" s="13"/>
      <c r="I38" s="16"/>
      <c r="J38" s="16">
        <v>6.5</v>
      </c>
      <c r="K38" s="16">
        <v>7</v>
      </c>
      <c r="L38" s="18">
        <f t="shared" si="0"/>
        <v>7.4</v>
      </c>
      <c r="M38" s="16" t="s">
        <v>22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2405691930</v>
      </c>
      <c r="C39" s="24" t="s">
        <v>589</v>
      </c>
      <c r="D39" s="22" t="s">
        <v>590</v>
      </c>
      <c r="E39" s="13" t="s">
        <v>591</v>
      </c>
      <c r="F39" s="13">
        <v>5</v>
      </c>
      <c r="G39" s="13">
        <v>10</v>
      </c>
      <c r="H39" s="13"/>
      <c r="I39" s="16"/>
      <c r="J39" s="16">
        <v>6</v>
      </c>
      <c r="K39" s="16">
        <v>5</v>
      </c>
      <c r="L39" s="18">
        <f t="shared" si="0"/>
        <v>6</v>
      </c>
      <c r="M39" s="16" t="s">
        <v>274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2405659740</v>
      </c>
      <c r="C40" s="24" t="s">
        <v>592</v>
      </c>
      <c r="D40" s="22" t="s">
        <v>120</v>
      </c>
      <c r="E40" s="13" t="s">
        <v>593</v>
      </c>
      <c r="F40" s="13">
        <v>7</v>
      </c>
      <c r="G40" s="13">
        <v>10</v>
      </c>
      <c r="H40" s="13"/>
      <c r="I40" s="16"/>
      <c r="J40" s="16">
        <v>7.5</v>
      </c>
      <c r="K40" s="16">
        <v>6</v>
      </c>
      <c r="L40" s="18">
        <f t="shared" si="0"/>
        <v>7.1</v>
      </c>
      <c r="M40" s="16" t="s">
        <v>42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2405678703</v>
      </c>
      <c r="C41" s="24" t="s">
        <v>594</v>
      </c>
      <c r="D41" s="22" t="s">
        <v>427</v>
      </c>
      <c r="E41" s="13" t="s">
        <v>595</v>
      </c>
      <c r="F41" s="13">
        <v>5</v>
      </c>
      <c r="G41" s="13">
        <v>7</v>
      </c>
      <c r="H41" s="13"/>
      <c r="I41" s="16"/>
      <c r="J41" s="16">
        <v>5</v>
      </c>
      <c r="K41" s="16">
        <v>5</v>
      </c>
      <c r="L41" s="18">
        <f t="shared" si="0"/>
        <v>5.3</v>
      </c>
      <c r="M41" s="16" t="s">
        <v>274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2405679096</v>
      </c>
      <c r="C42" s="25" t="s">
        <v>596</v>
      </c>
      <c r="D42" s="23" t="s">
        <v>597</v>
      </c>
      <c r="E42" s="15" t="s">
        <v>598</v>
      </c>
      <c r="F42" s="15">
        <v>5</v>
      </c>
      <c r="G42" s="15">
        <v>9</v>
      </c>
      <c r="H42" s="15"/>
      <c r="I42" s="17"/>
      <c r="J42" s="17">
        <v>7</v>
      </c>
      <c r="K42" s="17">
        <v>6</v>
      </c>
      <c r="L42" s="19">
        <f t="shared" si="0"/>
        <v>6.6</v>
      </c>
      <c r="M42" s="17" t="s">
        <v>274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2405680235</v>
      </c>
      <c r="C43" s="24" t="s">
        <v>471</v>
      </c>
      <c r="D43" s="22" t="s">
        <v>599</v>
      </c>
      <c r="E43" s="13" t="s">
        <v>600</v>
      </c>
      <c r="F43" s="13">
        <v>5</v>
      </c>
      <c r="G43" s="13">
        <v>5</v>
      </c>
      <c r="H43" s="13"/>
      <c r="I43" s="16"/>
      <c r="J43" s="16">
        <v>5</v>
      </c>
      <c r="K43" s="16">
        <v>5.5</v>
      </c>
      <c r="L43" s="18">
        <f t="shared" si="0"/>
        <v>5.2</v>
      </c>
      <c r="M43" s="16" t="s">
        <v>274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2405678391</v>
      </c>
      <c r="C44" s="24" t="s">
        <v>601</v>
      </c>
      <c r="D44" s="22" t="s">
        <v>128</v>
      </c>
      <c r="E44" s="13" t="s">
        <v>602</v>
      </c>
      <c r="F44" s="13">
        <v>9</v>
      </c>
      <c r="G44" s="13">
        <v>10</v>
      </c>
      <c r="H44" s="13"/>
      <c r="I44" s="16"/>
      <c r="J44" s="16">
        <v>10</v>
      </c>
      <c r="K44" s="16">
        <v>9.5</v>
      </c>
      <c r="L44" s="18">
        <f t="shared" si="0"/>
        <v>9.6</v>
      </c>
      <c r="M44" s="16" t="s">
        <v>22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2405680808</v>
      </c>
      <c r="C45" s="24" t="s">
        <v>603</v>
      </c>
      <c r="D45" s="22" t="s">
        <v>345</v>
      </c>
      <c r="E45" s="13" t="s">
        <v>604</v>
      </c>
      <c r="F45" s="13">
        <v>5</v>
      </c>
      <c r="G45" s="13">
        <v>8.5</v>
      </c>
      <c r="H45" s="13"/>
      <c r="I45" s="16"/>
      <c r="J45" s="16">
        <v>8.5</v>
      </c>
      <c r="K45" s="16">
        <v>6</v>
      </c>
      <c r="L45" s="18">
        <f t="shared" si="0"/>
        <v>6.9</v>
      </c>
      <c r="M45" s="16" t="s">
        <v>274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2405685418</v>
      </c>
      <c r="C46" s="24" t="s">
        <v>605</v>
      </c>
      <c r="D46" s="22" t="s">
        <v>345</v>
      </c>
      <c r="E46" s="13" t="s">
        <v>431</v>
      </c>
      <c r="F46" s="13">
        <v>6</v>
      </c>
      <c r="G46" s="13">
        <v>8.5</v>
      </c>
      <c r="H46" s="13"/>
      <c r="I46" s="16"/>
      <c r="J46" s="16">
        <v>7</v>
      </c>
      <c r="K46" s="16">
        <v>6</v>
      </c>
      <c r="L46" s="18">
        <f t="shared" si="0"/>
        <v>6.6</v>
      </c>
      <c r="M46" s="16" t="s">
        <v>33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2405681415</v>
      </c>
      <c r="C47" s="25" t="s">
        <v>606</v>
      </c>
      <c r="D47" s="23" t="s">
        <v>607</v>
      </c>
      <c r="E47" s="15" t="s">
        <v>250</v>
      </c>
      <c r="F47" s="15">
        <v>5</v>
      </c>
      <c r="G47" s="15">
        <v>5</v>
      </c>
      <c r="H47" s="15"/>
      <c r="I47" s="17"/>
      <c r="J47" s="17">
        <v>5</v>
      </c>
      <c r="K47" s="17">
        <v>5</v>
      </c>
      <c r="L47" s="19">
        <f t="shared" si="0"/>
        <v>5</v>
      </c>
      <c r="M47" s="17" t="s">
        <v>460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2405682259</v>
      </c>
      <c r="C48" s="24" t="s">
        <v>608</v>
      </c>
      <c r="D48" s="22" t="s">
        <v>609</v>
      </c>
      <c r="E48" s="13" t="s">
        <v>228</v>
      </c>
      <c r="F48" s="13">
        <v>6</v>
      </c>
      <c r="G48" s="13">
        <v>8</v>
      </c>
      <c r="H48" s="13"/>
      <c r="I48" s="16"/>
      <c r="J48" s="16">
        <v>6</v>
      </c>
      <c r="K48" s="16">
        <v>5</v>
      </c>
      <c r="L48" s="18">
        <f t="shared" si="0"/>
        <v>5.9</v>
      </c>
      <c r="M48" s="16" t="s">
        <v>33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0">
        <v>42</v>
      </c>
      <c r="B49" s="13">
        <v>2405689269</v>
      </c>
      <c r="C49" s="24" t="s">
        <v>610</v>
      </c>
      <c r="D49" s="22" t="s">
        <v>139</v>
      </c>
      <c r="E49" s="13" t="s">
        <v>343</v>
      </c>
      <c r="F49" s="13">
        <v>6</v>
      </c>
      <c r="G49" s="13">
        <v>8.5</v>
      </c>
      <c r="H49" s="13"/>
      <c r="I49" s="16"/>
      <c r="J49" s="16">
        <v>6</v>
      </c>
      <c r="K49" s="16">
        <v>5</v>
      </c>
      <c r="L49" s="18">
        <f t="shared" si="0"/>
        <v>5.9</v>
      </c>
      <c r="M49" s="16" t="s">
        <v>33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21">
        <v>43</v>
      </c>
      <c r="B50" s="15">
        <v>2405682608</v>
      </c>
      <c r="C50" s="25" t="s">
        <v>611</v>
      </c>
      <c r="D50" s="23" t="s">
        <v>612</v>
      </c>
      <c r="E50" s="15" t="s">
        <v>613</v>
      </c>
      <c r="F50" s="15">
        <v>8</v>
      </c>
      <c r="G50" s="15">
        <v>9</v>
      </c>
      <c r="H50" s="15"/>
      <c r="I50" s="17"/>
      <c r="J50" s="17">
        <v>7</v>
      </c>
      <c r="K50" s="17">
        <v>8</v>
      </c>
      <c r="L50" s="19">
        <f t="shared" si="0"/>
        <v>7.9</v>
      </c>
      <c r="M50" s="17" t="s">
        <v>22</v>
      </c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39" t="s">
        <v>141</v>
      </c>
      <c r="B51" s="40"/>
      <c r="C51" s="41"/>
      <c r="D51" s="41"/>
      <c r="E51" s="41"/>
      <c r="F51" s="40"/>
      <c r="G51" s="40"/>
      <c r="H51" s="40"/>
      <c r="I51" s="40"/>
      <c r="J51" s="42"/>
      <c r="K51" s="8"/>
      <c r="L51" s="9"/>
      <c r="M51" s="10"/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2.75" customHeight="1" x14ac:dyDescent="0.35">
      <c r="A52" s="43"/>
      <c r="B52" s="33"/>
      <c r="C52" s="44"/>
      <c r="D52" s="45"/>
      <c r="E52" s="45"/>
      <c r="F52" s="46"/>
      <c r="G52" s="46"/>
      <c r="H52" s="46"/>
      <c r="I52" s="46"/>
      <c r="J52" s="47"/>
    </row>
    <row r="53" spans="1:37" ht="12.75" customHeight="1" x14ac:dyDescent="0.35">
      <c r="A53" s="48" t="s">
        <v>142</v>
      </c>
      <c r="B53" s="33"/>
      <c r="C53" s="44"/>
      <c r="D53" s="45" t="s">
        <v>143</v>
      </c>
      <c r="E53" s="45"/>
      <c r="F53" s="46" t="str">
        <f>TEXT(COUNTIF(L8:L50,"&gt;="&amp;Q53),"#0")</f>
        <v>3</v>
      </c>
      <c r="G53" s="46"/>
      <c r="H53" s="31" t="s">
        <v>144</v>
      </c>
      <c r="I53" s="46" t="str">
        <f>ROUND(F53/IF(COUNTIF(L8:L50,"&gt;=0")=0,1,COUNTIF(L8:L50,"&gt;=0")),4)*100&amp;"%"</f>
        <v>6.98%</v>
      </c>
      <c r="J53" s="47"/>
      <c r="Q53" s="26">
        <v>7.95</v>
      </c>
    </row>
    <row r="54" spans="1:37" ht="12.75" customHeight="1" x14ac:dyDescent="0.35">
      <c r="A54" s="43" t="s">
        <v>145</v>
      </c>
      <c r="B54" s="33"/>
      <c r="C54" s="44"/>
      <c r="D54" s="45" t="s">
        <v>146</v>
      </c>
      <c r="E54" s="45"/>
      <c r="F54" s="46" t="str">
        <f>TEXT(COUNTIF(L8:L50,"&gt;="&amp;Q54)-F53,"#0")</f>
        <v>19</v>
      </c>
      <c r="G54" s="46"/>
      <c r="H54" s="31" t="s">
        <v>144</v>
      </c>
      <c r="I54" s="46" t="str">
        <f>ROUND(F54/IF(COUNTIF(L8:L50,"&gt;=0")=0,1,COUNTIF(L8:L50,"&gt;=0")),4)*100&amp;"%"</f>
        <v>44.19%</v>
      </c>
      <c r="J54" s="47"/>
      <c r="Q54" s="26">
        <v>6.45</v>
      </c>
    </row>
    <row r="55" spans="1:37" ht="12.75" customHeight="1" x14ac:dyDescent="0.35">
      <c r="A55" s="27"/>
      <c r="D55" s="45" t="s">
        <v>147</v>
      </c>
      <c r="E55" s="45"/>
      <c r="F55" s="46" t="str">
        <f>TEXT(COUNTIF(L8:L50,"&gt;="&amp;Q55)-F54-F53,"#0")</f>
        <v>21</v>
      </c>
      <c r="G55" s="46"/>
      <c r="H55" s="31" t="s">
        <v>144</v>
      </c>
      <c r="I55" s="46" t="str">
        <f>ROUND(F55/IF(COUNTIF(L8:L50,"&gt;=0")=0,1,COUNTIF(L8:L50,"&gt;=0")),4)*100&amp;"%"</f>
        <v>48.84%</v>
      </c>
      <c r="J55" s="47"/>
      <c r="Q55" s="26">
        <v>4.95</v>
      </c>
    </row>
    <row r="56" spans="1:37" ht="12.75" customHeight="1" x14ac:dyDescent="0.35">
      <c r="A56" s="28"/>
      <c r="B56" s="29"/>
      <c r="C56" s="30"/>
      <c r="D56" s="49" t="s">
        <v>148</v>
      </c>
      <c r="E56" s="49"/>
      <c r="F56" s="50" t="str">
        <f>TEXT(COUNTIF(L8:L50,"&gt;=0")-F52-F53-F54-F55,"#0")</f>
        <v>0</v>
      </c>
      <c r="G56" s="50"/>
      <c r="H56" s="32" t="s">
        <v>144</v>
      </c>
      <c r="I56" s="50" t="str">
        <f>ROUND(F56/IF(COUNTIF(L8:L50,"&gt;=0")=0,1,COUNTIF(L8:L50,"&gt;=0")),4)*100&amp;"%"</f>
        <v>0%</v>
      </c>
      <c r="J56" s="51"/>
    </row>
    <row r="65536" ht="14.5" x14ac:dyDescent="0.35"/>
  </sheetData>
  <mergeCells count="32">
    <mergeCell ref="D55:E55"/>
    <mergeCell ref="F55:G55"/>
    <mergeCell ref="I55:J55"/>
    <mergeCell ref="D56:E56"/>
    <mergeCell ref="F56:G56"/>
    <mergeCell ref="I56:J56"/>
    <mergeCell ref="A51:J52"/>
    <mergeCell ref="A53:C53"/>
    <mergeCell ref="D53:E53"/>
    <mergeCell ref="F53:G53"/>
    <mergeCell ref="I53:J53"/>
    <mergeCell ref="A54:C54"/>
    <mergeCell ref="D54:E54"/>
    <mergeCell ref="F54:G54"/>
    <mergeCell ref="I54:J54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60">
    <dataValidation type="list" allowBlank="1" showInputMessage="1" showErrorMessage="1" errorTitle="Thông báo" error="Bạn phải nhập [Đạt] = d, Đ, đ, 1   [Chưa đạt] = c, CĐ, cđ, 2" sqref="C5" xr:uid="{D8E14E61-696C-454E-97B3-B16B262A4CBC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EB819E30-D103-48FF-841D-846F47734A05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3C42933B-BDDD-4934-AEB5-A25A6852D2CC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F527C96B-9732-427A-A39C-6E545D5F553B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B22586FE-09AF-4A34-A35F-9068184D8579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9834F64E-6F6D-4CFC-9CDA-DF801F99FF32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0A4F77F8-E8D6-4F2C-B731-A3AFE2FB14D7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060A6E92-C0DF-44DD-BBDF-5C96765D3893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83954453-6036-4C73-AA00-26CED96B1EB0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FC3B7EEB-F18D-40C0-9DC9-8701AC1132C3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AAFD1F50-275E-43BD-B47C-1F940C6B3D61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C4252398-E441-42EB-ACD0-4EA84453009E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654D9B91-D643-40A6-B173-C4209E5043AB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8D58BEFC-7EF8-4AA2-99B5-011E19D96D21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0B16D25D-D0B1-43E3-A1F0-68ED6286DF4C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B2BED945-A44D-4F09-BC69-B28EEC3703A6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F05FDD11-4C86-4B59-BCD0-21CAB5897890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ECD19A18-A5F8-4FEE-BEA1-4890CD9E16B6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AAD597F2-1780-42A9-876D-2D890B084006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160D0826-12CD-423D-B4A5-46A3A05223A9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ADEF7692-E8E1-45F2-A934-AAF20F4C2982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17DD0FC0-0F31-4D70-8F8D-ACBDCE5605FD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94A81A23-A867-452B-B345-50C3D2FA7D4F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42F6E89D-A764-4C7E-9F26-13B5C1E25001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97AEF754-D471-43D8-B833-FBA08F3C20F7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A0DD901F-1AB7-4989-9B78-B02FBA1AC547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18BF4291-7838-4F1E-BD1E-AD1AD30B88FB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94C29F48-3CC6-4EB6-9E96-FCC3977D4E17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94E73EAC-663C-442F-9F77-207547F127D7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BC443F45-638C-4201-AD46-017EF1520685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DA493FEA-F489-423E-8319-E9C610A03A0C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2DC9485D-B256-4FA3-8918-5A3DAC156B1C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28B23D4D-B112-472D-8735-3F577E5259DE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C014164D-B572-4012-A0D2-F67142132C76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1EF163AE-D8C9-46D0-BE38-FF2296507408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44D2CE68-A72B-44A1-8374-B8C2CFAD69F2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99087053-0784-4FEB-81E1-7A80D5D188EF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2099050D-321C-454A-AAB4-5CF9F219F4DF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008FF0C7-0D0B-4711-BB5E-8D6CFCB104C6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63811934-B873-48A8-A128-D0C211F1673B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D9D3AC94-EB94-427C-8560-15E664986102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E04B3621-9EED-45FE-AE57-9B7540888683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683FBDDD-20E5-4AE8-B19E-A8017DA71630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0C425BC8-9221-4B93-9CFF-6C98314B8597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5F34818C-7C2C-4BC3-B2E3-D43A01B28099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639B8AD8-E65C-490B-9B6F-11202E449E86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28416212-2390-48C9-A6A0-D79CA14D9F5C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9FB87219-0305-45C8-BAA6-96D311BC4EB5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ADE2F26F-5C5B-4864-AE36-7C2E3AD4410C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5E6FD4AA-3B1F-424A-A76C-8F1953C6084C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133810CC-08F1-4331-B3AA-F2911B97E0CE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0DCAB1DA-744B-4556-AE51-47B20EBAEF25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5B6A58D3-2566-4158-B2C1-BAD1CDB77557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9DF18A49-07FE-424A-8574-00188BA9CC20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D533F5EF-CA6B-4965-A71F-B363B5A63DC1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8BDCB19B-AF37-4311-A7BD-4DB5058891E2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F1631389-B01F-457E-91A4-429FCD654C26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FA1F04FC-EF28-4815-866D-4F2077F882CA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82988FA4-359C-494A-B17B-44B5F912A943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07B5B6FB-3DB7-4151-BD19-6241DA05AD02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AC3D85D6-F7FA-429E-B012-65C7E3B4A136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DD001A61-16AD-4F24-984D-802EDEA80265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29ED21AF-DD4E-4596-8A71-711E02ECF385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6A0EDC9D-4B58-4E71-9C66-94706D3B0D87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33901974-2745-48A9-8424-5462C47065A5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B3C5B2D0-3147-4FD7-80D9-40A846B35FC2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8AA3B912-3053-481C-90A8-20DCAFE25054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7888C147-28D5-46C1-A3C5-0F9CFDEE866B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C239ED3C-F663-494C-B28C-F81AB2D3F52D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A5A8F063-3E83-4E60-B054-DD3AD9789506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697C8ACC-36BB-4752-8380-F25ACED4315F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EDDF6BEB-AD8D-4CD2-B473-44F791D4B22E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097BF37D-BE7E-4337-BD17-2C7B30BD56BA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A8921E1C-0AE2-44A4-AE51-6CBB82158D2D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48C7BC47-80FE-4487-886E-D9A2BDAF3DBF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0EBB893B-79A1-4DAA-9D97-2B00B95AC80C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E02E88F8-DE44-4C22-8ABF-AD212041FEDB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AA91F821-5827-469D-98C6-374F8BF1DC68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8B4E705F-2669-4022-80D2-9046560A94D1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CE748830-DDA0-493A-849E-C5A6730AACE3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D6B47EC9-0539-44A8-978A-3CE921EE9065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1500E2DF-472D-4981-A059-144B03547CE6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E1D52DA3-77C4-4038-A3F5-3CCCC13E8EBA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A8BDBBCA-467A-4F9C-889D-724CE60B5A3D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B91B62CB-7462-4A93-9CF2-E64AC51D0C78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A952B85A-E2C0-4FE6-BF96-71248DC6E705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150854F6-3C09-41AB-B57E-C9AE0EE0BCE3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146EC0F7-9E3D-4F45-91DB-053A285816B9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9C3A8B3C-5AD8-491A-BD3D-2F7091D304F3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081A7A34-9AC2-49B5-ABB0-29A5103F58C2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74C3F904-01EA-47D3-A2A9-E63E7FF19A0C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C511DBCF-69FB-4BB3-A162-8476EF33F14B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6B6AA551-3DB3-4CE0-A8DB-25FA45421CEA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3DC86030-A94C-4D8A-9567-353B7362BC73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EC3656CF-FD1E-4B48-B97E-2160DA5C9BE0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29E4B9AD-7CE1-46A2-A838-E9D203CF5E9D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35FCFD9B-5F97-476D-A398-3C86989A27D2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58C70DE8-A7BF-49A0-8A7F-BFE514C10FA3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AB13412F-2BB1-403B-9204-65E45ED47733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838E65D3-F2B5-44C3-A1A1-24B64EBBD619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B6177E4A-56D9-4EF4-A603-9E8B79C26D80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5794D509-20C7-4EE7-AD37-EC2274D1EFF0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8B1ACE71-806F-4D60-A285-3B031DB9BFAC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0DD4B71D-2BA4-4EF7-A81F-FACE0179B25B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CC5D666B-DE19-402C-96A0-48FE08105519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EBD08409-06A9-4EE4-B036-B1751B21C21F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6FAAA629-D25B-4EDE-A9AA-9AE889E61538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53B1BF6C-2B3F-497D-9007-226FA6DE7FBB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E990D477-5ADA-4053-8646-3D1244A45754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079055EA-D6F0-4779-B725-D2129FBE319B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F493CAB5-F289-4F64-9524-9AFC800CF687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9446DF4B-2C2F-4F6A-B3CC-D310791A3613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68C39605-D778-46AC-A418-A27A1DCBD672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DD2B74B7-C4DC-47B1-AC4C-A5A6D6DB0F96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AA1C116D-8C6D-41F1-9582-AF17559CE7DB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B0D0954F-A5CE-4DDB-9FEC-BFBF2975086B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825BBFBB-71C1-4135-AF90-F15BC87FDD7B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8DC9E646-2AA8-4F9C-BFF4-FD03662D42F7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C1063548-E25B-4C17-9254-5B91280F56FF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8F10908D-9EFD-49E9-A499-50A1E870DA09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D944BE56-E1B5-466F-80A8-16CEE60EB106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60FAFB83-E482-4F53-88AD-C76E57A15AFE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9C4F0A20-948D-4359-AD6B-EB054862899B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74EADAA0-4707-4E48-BD90-FC15281991FB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5A7B0783-85A8-47EB-9127-2FC30154D761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75498FF6-1D6A-4D6B-8F73-A3B034945D55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6B9D1125-A81E-49D9-BEFF-BF8593A3B854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25842EA2-1F1E-449E-9EE7-0823A1817D31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AC32DAE1-9AF7-424E-A65A-576DCF8B8A21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C7CEFEE0-5676-4A29-BC22-9CA2D039CE47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461A16BB-D0CF-4AFC-876C-423294E5A7B9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AC123281-ECAD-47F9-BDD8-4CF408DEF3E5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BEA91C52-A668-4769-9CDA-DD2C4771A647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0E3B9769-1376-46DA-9FDB-75FBCD34BD0B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5B78A499-62DE-4957-8E43-0995A3D79BE2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3BFC9163-7267-445E-AF5A-6F676F7B3827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5B03BD9C-4008-463F-B599-67495867AF84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5FF11E22-6D27-445A-B0A8-D11F6C619F06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08A2AB5F-310B-4022-B7FF-9B464FBEEC99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7FC6267C-DA5E-46AB-82AC-A1C856AE048B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043B6EEE-107F-4AEF-9C19-2AD1FDA25F64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01C51849-36AC-4ED2-9051-ABBF6911AA16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E559A414-D870-445F-B007-41D2C8488AB2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6D08392C-2A7F-4ADD-A7C2-16DDB044701A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8D59BF84-2E8B-4BB1-A625-DCF046FF7B78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8C323BCE-B5BF-48CD-B6FE-F5E3C0862201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DB126E28-EB8F-4023-ABFC-36C5ED83E8F0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DD2B27F7-9A30-4D29-B4CB-B815E1D65CC9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3781AF92-A7BC-4051-907F-B79665A805E3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56ADA31E-F724-4425-86DB-E3CC22FBFB69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EBE32AC3-B5BC-4339-8231-1F5F633A4D18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DDAB16CB-F694-468B-AF7B-4A7F4CB37C21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CC64E2B4-500B-440E-8ECF-2C90EE7C52B2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32858FA3-DB8E-41FC-A162-8D17FC2B46D6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5C471E97-5D3F-4DD8-BF43-5150F505FD3D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133B1007-E6F9-41DE-9220-635B0482EE4B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2CE7E738-6E0B-4871-9E29-C5FAA35CF3F8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89A8AAF5-89F0-48B5-9591-BF653DF9DCD1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138EC418-6B18-40C1-B84B-EF4B7EDE7FDB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451A6F4C-125A-40C4-AF20-188D2865AE28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F76BD80F-36A9-49F2-8642-D09FACF18137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1C8A7BF7-970F-40FC-9893-E680E7E571A3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D6EC55A4-C393-4254-930F-B4C9856B0CCB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34CEDDDA-3B04-4C98-BD62-3BC1CAD82944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3C7A9A8A-55B7-4381-9ACA-7980EA0DBF16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D57F839A-68AB-4654-AA3C-DB0B90D9FB01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E29DA744-72D5-4EA4-AA12-9C88FFF0B0D1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F10B5064-8B31-4A67-B860-673FC9A69D4A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564D2865-0D94-404E-A085-D4D532F583AE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75F5AAA7-5A60-40DA-AAE4-9FD89D709752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D4DD996F-CA80-473F-B766-F361F57BFF03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5B25DA26-D1B4-4881-879B-A3AE847ABB34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6B3E5E64-D644-481D-BB66-EA46B890EF13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C5CBB398-74E8-41BC-9317-11B593D77B18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D26635C9-FC0B-4431-8E0D-5B41F67B6A2E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2B247EBD-56CC-4A14-9FA1-03E4EE2EF276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3709EAE5-6E69-4F12-88B6-3D609D3BAAAE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8006B0A5-F872-4B75-8CAA-40DF33AF7CB4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99A4AE40-1961-4CE6-AC68-DD18076B035C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E2B6B8AC-0604-4456-B0AB-D0AD3683CC44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69DD49FF-7618-4648-B837-59EFDF5E478D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9069ECFD-8D20-4F85-B8D0-18844803070E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2741546D-60B4-4D4B-93EB-97C25A8F8343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DD5C7136-B666-4ED6-A596-9163DA715A67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E39DBCE6-780C-4A96-9FE0-D343FCCE71C2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EC2EC215-1009-430B-9693-D919F34EA2B1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8CC4BE29-758F-4835-879A-C93A6B8B63C4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07DC53F2-FF36-4D8C-A202-95CB3AF30AAB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3F142433-1CB2-4062-83CD-B6116BA8B639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F31150D3-AE1F-443C-A98D-848D761A9710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327BF5C8-5C54-449A-ADE8-D2B6E6FB8BE8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669AA6B1-65FC-43BC-8122-35D3F0831A28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C6F73E7A-58F3-4DED-AFBA-4474471D1A76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45C60F3D-3A2F-4815-B03E-EE120520C9BD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B999FB94-05DD-4E04-8C52-78E937B4A2EA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B9834D6C-01D9-4F1A-ACB8-B1280F633ADE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B5241646-450B-4EA3-B2DA-69EF40DC552F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B7D50185-52B2-49DD-B587-9B26BFE8BA25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BA37ECEA-2653-4C96-8DED-63758D8BC084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5A828A9B-4699-472D-83E0-567E52DA9EEA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45685278-E571-40A1-B979-24E2DE31C146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4085691D-99DE-465F-9AB8-9D2BB55D4616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FF034ED7-E104-4554-8944-BFF71FE9BEEB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03D32BFC-EDF8-4D82-9C8C-66A951CC03F5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B533D7F6-4806-490A-B50A-5B8F9CDE2BB7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3EC0F2EA-B91D-4606-8B2B-4874F1A41FA0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BA67A468-4868-4AEE-B6B1-7C8286BF95F0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53A81AAE-727A-4C01-9E96-DDFB84F268F4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22E6D9BD-7D7C-4D97-9414-D0FBC7065142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4647CFAC-83D7-44A1-BBCE-F2DCF97728EA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21E5829F-F759-48CD-AEF5-DAA673C2E236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36DC5D38-818D-4DA2-8315-683E59D0177A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14280FFA-F9EF-49FB-8051-C840F2567AEB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1037FBB3-7CF2-4B4D-984A-EAD5C9B6656E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7C39041F-FF5C-46F1-BCB7-8B91C3D8064A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43AFFD93-1F46-42E3-B7F0-DE02D871FD9D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F0692811-BEB4-43C0-B21D-021F4FC977F9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1974467C-3CE4-4395-AA09-1E1F053BA9DA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9E6ABD86-9804-458C-9E20-CB188F160939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35AF2658-53D0-4724-8544-7BBA70471D79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CBE93EE0-7C5B-4299-9665-9B7E3F2DDF37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01C6A772-CFB8-4799-89E2-1658A1F9EE7F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C3D6C342-6C81-41E9-99BC-AE0F4A71F1FA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3252D2AD-B3F4-4DBF-AF0E-43F1A200F498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71FBD9A4-1201-4CF6-9904-B4504F6E3165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DC3E77CA-33B1-4F0D-81DB-49010E0A52C1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5E792CCE-95B5-496B-BB3E-71C3E9AA219A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612C9ACD-6873-4553-95E1-262293913A44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3FD03AE5-4E80-4A54-B258-6D1F7C77B7B1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A627913C-F99E-4831-8CC1-35BCC304C46E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5C961A57-5083-481A-81B5-A8D1706ED7E1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EB2D3C99-588B-4D2A-A8CD-419693058927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DFAE6E91-E7C4-41A5-9143-F93902730617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CBED2127-389F-4019-BF61-9E1C65D83AC5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43D495F6-566D-4343-B6CE-0744F19C38F1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F9FC9AFA-5A5C-48FB-8C18-FD86348DA04F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9B9C3A5C-ADCB-4DC9-BEFA-8E7AC6DE995E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6B71E63D-FB35-46F2-8F1B-EEB328B91016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620A0C29-27A2-413D-8F86-34648ACBCFE9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6B6912D2-653E-40CA-BC5F-8F7F6526E0DB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2CD57B2F-C3B9-43C7-956C-3B3546F64E5E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C5468FF3-331A-42BC-8FF4-D80CF6D6A173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03CB16E9-AD00-4FE6-BE2B-E722EEBCF1BC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D7FF8978-6257-4F06-AD9F-EFF873D444B8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0B7F7688-1925-4D70-8233-964121901769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00A05E91-1CDF-4FBA-BEB5-82DB73F20771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50482B5E-7409-4742-9436-D557057795C0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5F1A65DF-CBF4-4B5A-8C8E-1C6707C4615F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8B7010B1-5041-4595-9D71-2FEC591C8F0D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1F8FE75D-3E5A-4C65-B57F-3F2E26D7E9F1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3DF847B2-068D-4306-B5B7-741216C52ED9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6D33E0FA-989E-466E-B5FF-9210586B4C81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E8C59A54-42A4-4C1D-9A83-A9C79938F154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3174B0BE-04C6-4E25-B19D-A43FB2C4146D}">
      <formula1>0</formula1>
      <formula2>10</formula2>
    </dataValidation>
    <dataValidation type="decimal" allowBlank="1" showInputMessage="1" showErrorMessage="1" errorTitle="Thông báo" error="Giá trị con điểm phải là số &gt;=0 và &lt;=10 " sqref="F50" xr:uid="{C8D4F195-6FD3-4EF2-BC38-27C62BBBD67A}">
      <formula1>0</formula1>
      <formula2>10</formula2>
    </dataValidation>
    <dataValidation type="decimal" allowBlank="1" showInputMessage="1" showErrorMessage="1" errorTitle="Thông báo" error="Giá trị con điểm phải là số &gt;=0 và &lt;=10 " sqref="G50" xr:uid="{F9079F35-0162-4C63-B33C-E112A1B64254}">
      <formula1>0</formula1>
      <formula2>10</formula2>
    </dataValidation>
    <dataValidation type="decimal" allowBlank="1" showInputMessage="1" showErrorMessage="1" errorTitle="Thông báo" error="Giá trị con điểm phải là số &gt;=0 và &lt;=10 " sqref="H50" xr:uid="{6A66DE33-AA12-4727-B6F6-EFD07FA1CE14}">
      <formula1>0</formula1>
      <formula2>10</formula2>
    </dataValidation>
    <dataValidation type="decimal" allowBlank="1" showInputMessage="1" showErrorMessage="1" errorTitle="Thông báo" error="Giá trị con điểm phải là số &gt;=0 và &lt;=10 " sqref="I50" xr:uid="{0BB1A590-661C-4388-A2C6-8A09F474044E}">
      <formula1>0</formula1>
      <formula2>10</formula2>
    </dataValidation>
    <dataValidation type="decimal" allowBlank="1" showInputMessage="1" showErrorMessage="1" errorTitle="Thông báo" error="Giá trị con điểm phải là số &gt;=0 và &lt;=10 " sqref="J50" xr:uid="{FF146391-4F4B-44BE-BC42-5D7A62F67B69}">
      <formula1>0</formula1>
      <formula2>10</formula2>
    </dataValidation>
    <dataValidation type="decimal" allowBlank="1" showInputMessage="1" showErrorMessage="1" errorTitle="Thông báo" error="Giá trị con điểm phải là số &gt;=0 và &lt;=10 " sqref="K50" xr:uid="{5B551DCD-2B62-47D2-BCCB-9BF98C1F1B47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0E0A-1CA9-46BB-89EA-07F1509DC25C}">
  <dimension ref="A1:AK65536"/>
  <sheetViews>
    <sheetView showRuler="0" zoomScaleNormal="100" workbookViewId="0">
      <selection activeCell="D53" sqref="D53:J57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614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2413416507</v>
      </c>
      <c r="C8" s="24" t="s">
        <v>452</v>
      </c>
      <c r="D8" s="22" t="s">
        <v>157</v>
      </c>
      <c r="E8" s="13" t="s">
        <v>615</v>
      </c>
      <c r="F8" s="13">
        <v>5</v>
      </c>
      <c r="G8" s="13">
        <v>5</v>
      </c>
      <c r="H8" s="13"/>
      <c r="I8" s="16"/>
      <c r="J8" s="16">
        <v>5</v>
      </c>
      <c r="K8" s="16">
        <v>6</v>
      </c>
      <c r="L8" s="18">
        <f t="shared" ref="L8:L51" si="0">IF((COUNT(F8:I8)+COUNT(J8:J8)*2+COUNT(K8:K8)*3),ROUND((SUM(F8:I8)+SUM(J8:J8)*2+SUM(K8:K8)*3)/(COUNT(F8:I8)+COUNT(J8:J8)*2+COUNT(K8:K8)*3),1),"")</f>
        <v>5.4</v>
      </c>
      <c r="M8" s="16" t="s">
        <v>274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2405556450</v>
      </c>
      <c r="C9" s="24" t="s">
        <v>503</v>
      </c>
      <c r="D9" s="22" t="s">
        <v>281</v>
      </c>
      <c r="E9" s="13" t="s">
        <v>616</v>
      </c>
      <c r="F9" s="13">
        <v>6</v>
      </c>
      <c r="G9" s="13">
        <v>5</v>
      </c>
      <c r="H9" s="13"/>
      <c r="I9" s="16"/>
      <c r="J9" s="16">
        <v>10</v>
      </c>
      <c r="K9" s="16">
        <v>8.5</v>
      </c>
      <c r="L9" s="18">
        <f t="shared" si="0"/>
        <v>8.1</v>
      </c>
      <c r="M9" s="16" t="s">
        <v>33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2405548720</v>
      </c>
      <c r="C10" s="24" t="s">
        <v>617</v>
      </c>
      <c r="D10" s="22" t="s">
        <v>618</v>
      </c>
      <c r="E10" s="13" t="s">
        <v>311</v>
      </c>
      <c r="F10" s="13">
        <v>7</v>
      </c>
      <c r="G10" s="13">
        <v>5</v>
      </c>
      <c r="H10" s="13"/>
      <c r="I10" s="16"/>
      <c r="J10" s="16">
        <v>9</v>
      </c>
      <c r="K10" s="16">
        <v>9.5</v>
      </c>
      <c r="L10" s="18">
        <f t="shared" si="0"/>
        <v>8.4</v>
      </c>
      <c r="M10" s="16" t="s">
        <v>42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2405590532</v>
      </c>
      <c r="C11" s="24" t="s">
        <v>382</v>
      </c>
      <c r="D11" s="22" t="s">
        <v>619</v>
      </c>
      <c r="E11" s="13" t="s">
        <v>620</v>
      </c>
      <c r="F11" s="13">
        <v>7</v>
      </c>
      <c r="G11" s="13">
        <v>7</v>
      </c>
      <c r="H11" s="13"/>
      <c r="I11" s="16"/>
      <c r="J11" s="16">
        <v>9</v>
      </c>
      <c r="K11" s="16">
        <v>7.5</v>
      </c>
      <c r="L11" s="18">
        <f t="shared" si="0"/>
        <v>7.8</v>
      </c>
      <c r="M11" s="16" t="s">
        <v>42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2405590580</v>
      </c>
      <c r="C12" s="25" t="s">
        <v>621</v>
      </c>
      <c r="D12" s="23" t="s">
        <v>370</v>
      </c>
      <c r="E12" s="15" t="s">
        <v>622</v>
      </c>
      <c r="F12" s="15">
        <v>7</v>
      </c>
      <c r="G12" s="15">
        <v>6</v>
      </c>
      <c r="H12" s="15"/>
      <c r="I12" s="17"/>
      <c r="J12" s="17">
        <v>9.5</v>
      </c>
      <c r="K12" s="17">
        <v>9</v>
      </c>
      <c r="L12" s="19">
        <f t="shared" si="0"/>
        <v>8.4</v>
      </c>
      <c r="M12" s="17" t="s">
        <v>42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2405591296</v>
      </c>
      <c r="C13" s="24" t="s">
        <v>623</v>
      </c>
      <c r="D13" s="22" t="s">
        <v>624</v>
      </c>
      <c r="E13" s="13" t="s">
        <v>625</v>
      </c>
      <c r="F13" s="13">
        <v>8</v>
      </c>
      <c r="G13" s="13">
        <v>5</v>
      </c>
      <c r="H13" s="13"/>
      <c r="I13" s="16"/>
      <c r="J13" s="16">
        <v>10</v>
      </c>
      <c r="K13" s="16">
        <v>10</v>
      </c>
      <c r="L13" s="18">
        <f t="shared" si="0"/>
        <v>9</v>
      </c>
      <c r="M13" s="16" t="s">
        <v>22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2405592786</v>
      </c>
      <c r="C14" s="24" t="s">
        <v>626</v>
      </c>
      <c r="D14" s="22" t="s">
        <v>53</v>
      </c>
      <c r="E14" s="13" t="s">
        <v>627</v>
      </c>
      <c r="F14" s="13">
        <v>6</v>
      </c>
      <c r="G14" s="13">
        <v>7</v>
      </c>
      <c r="H14" s="13"/>
      <c r="I14" s="16"/>
      <c r="J14" s="16">
        <v>7</v>
      </c>
      <c r="K14" s="16">
        <v>6</v>
      </c>
      <c r="L14" s="18">
        <f t="shared" si="0"/>
        <v>6.4</v>
      </c>
      <c r="M14" s="16" t="s">
        <v>33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2405591299</v>
      </c>
      <c r="C15" s="24" t="s">
        <v>628</v>
      </c>
      <c r="D15" s="22" t="s">
        <v>629</v>
      </c>
      <c r="E15" s="13" t="s">
        <v>630</v>
      </c>
      <c r="F15" s="13">
        <v>7</v>
      </c>
      <c r="G15" s="13">
        <v>5</v>
      </c>
      <c r="H15" s="13"/>
      <c r="I15" s="16"/>
      <c r="J15" s="16">
        <v>5</v>
      </c>
      <c r="K15" s="16">
        <v>6.5</v>
      </c>
      <c r="L15" s="18">
        <f t="shared" si="0"/>
        <v>5.9</v>
      </c>
      <c r="M15" s="16" t="s">
        <v>42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2405591548</v>
      </c>
      <c r="C16" s="24" t="s">
        <v>631</v>
      </c>
      <c r="D16" s="22" t="s">
        <v>56</v>
      </c>
      <c r="E16" s="13" t="s">
        <v>632</v>
      </c>
      <c r="F16" s="13">
        <v>8</v>
      </c>
      <c r="G16" s="13">
        <v>6</v>
      </c>
      <c r="H16" s="13"/>
      <c r="I16" s="16"/>
      <c r="J16" s="16">
        <v>9.5</v>
      </c>
      <c r="K16" s="16">
        <v>6.5</v>
      </c>
      <c r="L16" s="18">
        <f t="shared" si="0"/>
        <v>7.5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2405590325</v>
      </c>
      <c r="C17" s="25" t="s">
        <v>441</v>
      </c>
      <c r="D17" s="23" t="s">
        <v>633</v>
      </c>
      <c r="E17" s="15" t="s">
        <v>88</v>
      </c>
      <c r="F17" s="15">
        <v>6</v>
      </c>
      <c r="G17" s="15">
        <v>6</v>
      </c>
      <c r="H17" s="15"/>
      <c r="I17" s="17"/>
      <c r="J17" s="17">
        <v>7.5</v>
      </c>
      <c r="K17" s="17">
        <v>6.5</v>
      </c>
      <c r="L17" s="19">
        <f t="shared" si="0"/>
        <v>6.6</v>
      </c>
      <c r="M17" s="17" t="s">
        <v>33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2405566569</v>
      </c>
      <c r="C18" s="24" t="s">
        <v>634</v>
      </c>
      <c r="D18" s="22" t="s">
        <v>187</v>
      </c>
      <c r="E18" s="13" t="s">
        <v>635</v>
      </c>
      <c r="F18" s="13">
        <v>8</v>
      </c>
      <c r="G18" s="13">
        <v>5</v>
      </c>
      <c r="H18" s="13"/>
      <c r="I18" s="16"/>
      <c r="J18" s="16">
        <v>10</v>
      </c>
      <c r="K18" s="16">
        <v>9.5</v>
      </c>
      <c r="L18" s="18">
        <f t="shared" si="0"/>
        <v>8.8000000000000007</v>
      </c>
      <c r="M18" s="16" t="s">
        <v>22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2405555976</v>
      </c>
      <c r="C19" s="24" t="s">
        <v>382</v>
      </c>
      <c r="D19" s="22" t="s">
        <v>69</v>
      </c>
      <c r="E19" s="13" t="s">
        <v>636</v>
      </c>
      <c r="F19" s="13">
        <v>8</v>
      </c>
      <c r="G19" s="13">
        <v>5</v>
      </c>
      <c r="H19" s="13"/>
      <c r="I19" s="16"/>
      <c r="J19" s="16">
        <v>8.5</v>
      </c>
      <c r="K19" s="16">
        <v>6.5</v>
      </c>
      <c r="L19" s="18">
        <f t="shared" si="0"/>
        <v>7.1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2405554082</v>
      </c>
      <c r="C20" s="24" t="s">
        <v>637</v>
      </c>
      <c r="D20" s="22" t="s">
        <v>638</v>
      </c>
      <c r="E20" s="13" t="s">
        <v>639</v>
      </c>
      <c r="F20" s="13">
        <v>8</v>
      </c>
      <c r="G20" s="13">
        <v>9</v>
      </c>
      <c r="H20" s="13"/>
      <c r="I20" s="16"/>
      <c r="J20" s="16">
        <v>10</v>
      </c>
      <c r="K20" s="16">
        <v>9.5</v>
      </c>
      <c r="L20" s="18">
        <f t="shared" si="0"/>
        <v>9.4</v>
      </c>
      <c r="M20" s="16" t="s">
        <v>22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2405554338</v>
      </c>
      <c r="C21" s="24" t="s">
        <v>640</v>
      </c>
      <c r="D21" s="22" t="s">
        <v>305</v>
      </c>
      <c r="E21" s="13" t="s">
        <v>316</v>
      </c>
      <c r="F21" s="13">
        <v>7</v>
      </c>
      <c r="G21" s="13">
        <v>7.5</v>
      </c>
      <c r="H21" s="13"/>
      <c r="I21" s="16"/>
      <c r="J21" s="16">
        <v>7.5</v>
      </c>
      <c r="K21" s="16">
        <v>6</v>
      </c>
      <c r="L21" s="18">
        <f t="shared" si="0"/>
        <v>6.8</v>
      </c>
      <c r="M21" s="16" t="s">
        <v>42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2405590434</v>
      </c>
      <c r="C22" s="25" t="s">
        <v>641</v>
      </c>
      <c r="D22" s="23" t="s">
        <v>642</v>
      </c>
      <c r="E22" s="15" t="s">
        <v>643</v>
      </c>
      <c r="F22" s="15">
        <v>6</v>
      </c>
      <c r="G22" s="15">
        <v>8</v>
      </c>
      <c r="H22" s="15"/>
      <c r="I22" s="17"/>
      <c r="J22" s="17">
        <v>8</v>
      </c>
      <c r="K22" s="17">
        <v>6</v>
      </c>
      <c r="L22" s="19">
        <f t="shared" si="0"/>
        <v>6.9</v>
      </c>
      <c r="M22" s="17" t="s">
        <v>33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2405590506</v>
      </c>
      <c r="C23" s="24" t="s">
        <v>644</v>
      </c>
      <c r="D23" s="22" t="s">
        <v>84</v>
      </c>
      <c r="E23" s="13" t="s">
        <v>584</v>
      </c>
      <c r="F23" s="13">
        <v>8</v>
      </c>
      <c r="G23" s="13">
        <v>5</v>
      </c>
      <c r="H23" s="13"/>
      <c r="I23" s="16"/>
      <c r="J23" s="16">
        <v>10</v>
      </c>
      <c r="K23" s="16">
        <v>6</v>
      </c>
      <c r="L23" s="18">
        <f t="shared" si="0"/>
        <v>7.3</v>
      </c>
      <c r="M23" s="16" t="s">
        <v>22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2405560646</v>
      </c>
      <c r="C24" s="24" t="s">
        <v>645</v>
      </c>
      <c r="D24" s="22" t="s">
        <v>90</v>
      </c>
      <c r="E24" s="13" t="s">
        <v>630</v>
      </c>
      <c r="F24" s="13">
        <v>8</v>
      </c>
      <c r="G24" s="13">
        <v>8</v>
      </c>
      <c r="H24" s="13"/>
      <c r="I24" s="16"/>
      <c r="J24" s="16">
        <v>7</v>
      </c>
      <c r="K24" s="16">
        <v>7</v>
      </c>
      <c r="L24" s="18">
        <f t="shared" si="0"/>
        <v>7.3</v>
      </c>
      <c r="M24" s="16" t="s">
        <v>42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2405701282</v>
      </c>
      <c r="C25" s="24" t="s">
        <v>592</v>
      </c>
      <c r="D25" s="22" t="s">
        <v>90</v>
      </c>
      <c r="E25" s="13" t="s">
        <v>477</v>
      </c>
      <c r="F25" s="13">
        <v>6</v>
      </c>
      <c r="G25" s="13">
        <v>5</v>
      </c>
      <c r="H25" s="13"/>
      <c r="I25" s="16"/>
      <c r="J25" s="16">
        <v>9</v>
      </c>
      <c r="K25" s="16">
        <v>8</v>
      </c>
      <c r="L25" s="18">
        <f t="shared" si="0"/>
        <v>7.6</v>
      </c>
      <c r="M25" s="16" t="s">
        <v>33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2405590446</v>
      </c>
      <c r="C26" s="24" t="s">
        <v>646</v>
      </c>
      <c r="D26" s="22" t="s">
        <v>647</v>
      </c>
      <c r="E26" s="13" t="s">
        <v>648</v>
      </c>
      <c r="F26" s="13">
        <v>8</v>
      </c>
      <c r="G26" s="13">
        <v>5</v>
      </c>
      <c r="H26" s="13"/>
      <c r="I26" s="16"/>
      <c r="J26" s="16">
        <v>7.5</v>
      </c>
      <c r="K26" s="16">
        <v>6</v>
      </c>
      <c r="L26" s="18">
        <f t="shared" si="0"/>
        <v>6.6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2405551540</v>
      </c>
      <c r="C27" s="25" t="s">
        <v>649</v>
      </c>
      <c r="D27" s="23" t="s">
        <v>105</v>
      </c>
      <c r="E27" s="15" t="s">
        <v>650</v>
      </c>
      <c r="F27" s="15">
        <v>6</v>
      </c>
      <c r="G27" s="15">
        <v>6.5</v>
      </c>
      <c r="H27" s="15"/>
      <c r="I27" s="17"/>
      <c r="J27" s="17">
        <v>7</v>
      </c>
      <c r="K27" s="17">
        <v>7</v>
      </c>
      <c r="L27" s="19">
        <f t="shared" si="0"/>
        <v>6.8</v>
      </c>
      <c r="M27" s="17" t="s">
        <v>33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2405590457</v>
      </c>
      <c r="C28" s="24" t="s">
        <v>651</v>
      </c>
      <c r="D28" s="22" t="s">
        <v>108</v>
      </c>
      <c r="E28" s="13" t="s">
        <v>652</v>
      </c>
      <c r="F28" s="13">
        <v>6</v>
      </c>
      <c r="G28" s="13">
        <v>7</v>
      </c>
      <c r="H28" s="13"/>
      <c r="I28" s="16"/>
      <c r="J28" s="16">
        <v>8.5</v>
      </c>
      <c r="K28" s="16">
        <v>6.5</v>
      </c>
      <c r="L28" s="18">
        <f t="shared" si="0"/>
        <v>7.1</v>
      </c>
      <c r="M28" s="16" t="s">
        <v>33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2405590482</v>
      </c>
      <c r="C29" s="24" t="s">
        <v>631</v>
      </c>
      <c r="D29" s="22" t="s">
        <v>653</v>
      </c>
      <c r="E29" s="13" t="s">
        <v>546</v>
      </c>
      <c r="F29" s="13">
        <v>8</v>
      </c>
      <c r="G29" s="13">
        <v>8</v>
      </c>
      <c r="H29" s="13"/>
      <c r="I29" s="16"/>
      <c r="J29" s="16">
        <v>10</v>
      </c>
      <c r="K29" s="16">
        <v>8.5</v>
      </c>
      <c r="L29" s="18">
        <f t="shared" si="0"/>
        <v>8.8000000000000007</v>
      </c>
      <c r="M29" s="16" t="s">
        <v>33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2405555548</v>
      </c>
      <c r="C30" s="24" t="s">
        <v>654</v>
      </c>
      <c r="D30" s="22" t="s">
        <v>655</v>
      </c>
      <c r="E30" s="13" t="s">
        <v>656</v>
      </c>
      <c r="F30" s="13">
        <v>7</v>
      </c>
      <c r="G30" s="13">
        <v>5</v>
      </c>
      <c r="H30" s="13"/>
      <c r="I30" s="16"/>
      <c r="J30" s="16">
        <v>5.5</v>
      </c>
      <c r="K30" s="16">
        <v>6</v>
      </c>
      <c r="L30" s="18">
        <f t="shared" si="0"/>
        <v>5.9</v>
      </c>
      <c r="M30" s="16" t="s">
        <v>42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2405567335</v>
      </c>
      <c r="C31" s="24" t="s">
        <v>438</v>
      </c>
      <c r="D31" s="22" t="s">
        <v>657</v>
      </c>
      <c r="E31" s="13" t="s">
        <v>212</v>
      </c>
      <c r="F31" s="13">
        <v>7</v>
      </c>
      <c r="G31" s="13">
        <v>5.5</v>
      </c>
      <c r="H31" s="13"/>
      <c r="I31" s="16"/>
      <c r="J31" s="16">
        <v>8</v>
      </c>
      <c r="K31" s="16">
        <v>6.5</v>
      </c>
      <c r="L31" s="18">
        <f t="shared" si="0"/>
        <v>6.9</v>
      </c>
      <c r="M31" s="16" t="s">
        <v>42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2405553295</v>
      </c>
      <c r="C32" s="25" t="s">
        <v>658</v>
      </c>
      <c r="D32" s="23" t="s">
        <v>659</v>
      </c>
      <c r="E32" s="15" t="s">
        <v>475</v>
      </c>
      <c r="F32" s="15">
        <v>5</v>
      </c>
      <c r="G32" s="15">
        <v>5</v>
      </c>
      <c r="H32" s="15"/>
      <c r="I32" s="17"/>
      <c r="J32" s="17">
        <v>8.5</v>
      </c>
      <c r="K32" s="17">
        <v>7.5</v>
      </c>
      <c r="L32" s="19">
        <f t="shared" si="0"/>
        <v>7.1</v>
      </c>
      <c r="M32" s="17" t="s">
        <v>274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2405591903</v>
      </c>
      <c r="C33" s="24" t="s">
        <v>156</v>
      </c>
      <c r="D33" s="22" t="s">
        <v>660</v>
      </c>
      <c r="E33" s="13" t="s">
        <v>661</v>
      </c>
      <c r="F33" s="13">
        <v>8</v>
      </c>
      <c r="G33" s="13">
        <v>5</v>
      </c>
      <c r="H33" s="13"/>
      <c r="I33" s="16"/>
      <c r="J33" s="16">
        <v>8</v>
      </c>
      <c r="K33" s="16">
        <v>8</v>
      </c>
      <c r="L33" s="18">
        <f t="shared" si="0"/>
        <v>7.6</v>
      </c>
      <c r="M33" s="16" t="s">
        <v>22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2405551798</v>
      </c>
      <c r="C34" s="24" t="s">
        <v>662</v>
      </c>
      <c r="D34" s="22" t="s">
        <v>663</v>
      </c>
      <c r="E34" s="13" t="s">
        <v>553</v>
      </c>
      <c r="F34" s="13">
        <v>5</v>
      </c>
      <c r="G34" s="13">
        <v>5</v>
      </c>
      <c r="H34" s="13"/>
      <c r="I34" s="16"/>
      <c r="J34" s="16">
        <v>7</v>
      </c>
      <c r="K34" s="16">
        <v>6</v>
      </c>
      <c r="L34" s="18">
        <f t="shared" si="0"/>
        <v>6</v>
      </c>
      <c r="M34" s="16" t="s">
        <v>33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2405562882</v>
      </c>
      <c r="C35" s="24" t="s">
        <v>664</v>
      </c>
      <c r="D35" s="22" t="s">
        <v>665</v>
      </c>
      <c r="E35" s="13" t="s">
        <v>666</v>
      </c>
      <c r="F35" s="13">
        <v>7</v>
      </c>
      <c r="G35" s="13">
        <v>5</v>
      </c>
      <c r="H35" s="13"/>
      <c r="I35" s="16"/>
      <c r="J35" s="16">
        <v>6</v>
      </c>
      <c r="K35" s="16">
        <v>6</v>
      </c>
      <c r="L35" s="18">
        <f t="shared" si="0"/>
        <v>6</v>
      </c>
      <c r="M35" s="16" t="s">
        <v>42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2405591762</v>
      </c>
      <c r="C36" s="24" t="s">
        <v>667</v>
      </c>
      <c r="D36" s="22" t="s">
        <v>668</v>
      </c>
      <c r="E36" s="13" t="s">
        <v>316</v>
      </c>
      <c r="F36" s="13">
        <v>6</v>
      </c>
      <c r="G36" s="13">
        <v>7</v>
      </c>
      <c r="H36" s="13"/>
      <c r="I36" s="16"/>
      <c r="J36" s="16">
        <v>8.5</v>
      </c>
      <c r="K36" s="16">
        <v>6</v>
      </c>
      <c r="L36" s="18">
        <f t="shared" si="0"/>
        <v>6.9</v>
      </c>
      <c r="M36" s="16" t="s">
        <v>33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2405553721</v>
      </c>
      <c r="C37" s="25" t="s">
        <v>669</v>
      </c>
      <c r="D37" s="23" t="s">
        <v>236</v>
      </c>
      <c r="E37" s="15" t="s">
        <v>670</v>
      </c>
      <c r="F37" s="15">
        <v>6</v>
      </c>
      <c r="G37" s="15">
        <v>6.5</v>
      </c>
      <c r="H37" s="15"/>
      <c r="I37" s="17"/>
      <c r="J37" s="17">
        <v>7</v>
      </c>
      <c r="K37" s="17">
        <v>9</v>
      </c>
      <c r="L37" s="19">
        <f t="shared" si="0"/>
        <v>7.6</v>
      </c>
      <c r="M37" s="17" t="s">
        <v>33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2405565521</v>
      </c>
      <c r="C38" s="24" t="s">
        <v>382</v>
      </c>
      <c r="D38" s="22" t="s">
        <v>671</v>
      </c>
      <c r="E38" s="13" t="s">
        <v>672</v>
      </c>
      <c r="F38" s="13">
        <v>5</v>
      </c>
      <c r="G38" s="13">
        <v>5</v>
      </c>
      <c r="H38" s="13"/>
      <c r="I38" s="16"/>
      <c r="J38" s="16">
        <v>6</v>
      </c>
      <c r="K38" s="16">
        <v>6</v>
      </c>
      <c r="L38" s="18">
        <f t="shared" si="0"/>
        <v>5.7</v>
      </c>
      <c r="M38" s="16" t="s">
        <v>274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2405564875</v>
      </c>
      <c r="C39" s="24" t="s">
        <v>673</v>
      </c>
      <c r="D39" s="22" t="s">
        <v>674</v>
      </c>
      <c r="E39" s="13" t="s">
        <v>675</v>
      </c>
      <c r="F39" s="13">
        <v>7</v>
      </c>
      <c r="G39" s="13">
        <v>5</v>
      </c>
      <c r="H39" s="13"/>
      <c r="I39" s="16"/>
      <c r="J39" s="16">
        <v>6</v>
      </c>
      <c r="K39" s="16">
        <v>6</v>
      </c>
      <c r="L39" s="18">
        <f t="shared" si="0"/>
        <v>6</v>
      </c>
      <c r="M39" s="16" t="s">
        <v>42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2405591701</v>
      </c>
      <c r="C40" s="24" t="s">
        <v>676</v>
      </c>
      <c r="D40" s="22" t="s">
        <v>597</v>
      </c>
      <c r="E40" s="13" t="s">
        <v>677</v>
      </c>
      <c r="F40" s="13">
        <v>8</v>
      </c>
      <c r="G40" s="13">
        <v>7.5</v>
      </c>
      <c r="H40" s="13"/>
      <c r="I40" s="16"/>
      <c r="J40" s="16">
        <v>7.5</v>
      </c>
      <c r="K40" s="16">
        <v>7</v>
      </c>
      <c r="L40" s="18">
        <f t="shared" si="0"/>
        <v>7.4</v>
      </c>
      <c r="M40" s="16" t="s">
        <v>22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2405549790</v>
      </c>
      <c r="C41" s="24" t="s">
        <v>678</v>
      </c>
      <c r="D41" s="22" t="s">
        <v>339</v>
      </c>
      <c r="E41" s="13" t="s">
        <v>371</v>
      </c>
      <c r="F41" s="13">
        <v>6</v>
      </c>
      <c r="G41" s="13">
        <v>8</v>
      </c>
      <c r="H41" s="13"/>
      <c r="I41" s="16"/>
      <c r="J41" s="16">
        <v>7</v>
      </c>
      <c r="K41" s="16">
        <v>7.5</v>
      </c>
      <c r="L41" s="18">
        <f t="shared" si="0"/>
        <v>7.2</v>
      </c>
      <c r="M41" s="16" t="s">
        <v>33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2405591721</v>
      </c>
      <c r="C42" s="25" t="s">
        <v>679</v>
      </c>
      <c r="D42" s="23" t="s">
        <v>241</v>
      </c>
      <c r="E42" s="15" t="s">
        <v>680</v>
      </c>
      <c r="F42" s="15">
        <v>8</v>
      </c>
      <c r="G42" s="15">
        <v>9.5</v>
      </c>
      <c r="H42" s="15"/>
      <c r="I42" s="17"/>
      <c r="J42" s="17">
        <v>9.5</v>
      </c>
      <c r="K42" s="17">
        <v>7.5</v>
      </c>
      <c r="L42" s="19">
        <f t="shared" si="0"/>
        <v>8.4</v>
      </c>
      <c r="M42" s="17" t="s">
        <v>22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2405590423</v>
      </c>
      <c r="C43" s="24" t="s">
        <v>308</v>
      </c>
      <c r="D43" s="22" t="s">
        <v>241</v>
      </c>
      <c r="E43" s="13" t="s">
        <v>681</v>
      </c>
      <c r="F43" s="13">
        <v>5</v>
      </c>
      <c r="G43" s="13">
        <v>5</v>
      </c>
      <c r="H43" s="13"/>
      <c r="I43" s="16"/>
      <c r="J43" s="16">
        <v>9.5</v>
      </c>
      <c r="K43" s="16">
        <v>8</v>
      </c>
      <c r="L43" s="18">
        <f t="shared" si="0"/>
        <v>7.6</v>
      </c>
      <c r="M43" s="16" t="s">
        <v>33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2413416487</v>
      </c>
      <c r="C44" s="24" t="s">
        <v>505</v>
      </c>
      <c r="D44" s="22" t="s">
        <v>607</v>
      </c>
      <c r="E44" s="13" t="s">
        <v>682</v>
      </c>
      <c r="F44" s="13">
        <v>5</v>
      </c>
      <c r="G44" s="13">
        <v>5</v>
      </c>
      <c r="H44" s="13"/>
      <c r="I44" s="16"/>
      <c r="J44" s="16">
        <v>6.5</v>
      </c>
      <c r="K44" s="16">
        <v>6</v>
      </c>
      <c r="L44" s="18">
        <f t="shared" si="0"/>
        <v>5.9</v>
      </c>
      <c r="M44" s="16" t="s">
        <v>274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2405590336</v>
      </c>
      <c r="C45" s="24" t="s">
        <v>683</v>
      </c>
      <c r="D45" s="22" t="s">
        <v>607</v>
      </c>
      <c r="E45" s="13" t="s">
        <v>684</v>
      </c>
      <c r="F45" s="13">
        <v>8</v>
      </c>
      <c r="G45" s="13">
        <v>7</v>
      </c>
      <c r="H45" s="13"/>
      <c r="I45" s="16"/>
      <c r="J45" s="16">
        <v>7.5</v>
      </c>
      <c r="K45" s="16">
        <v>8</v>
      </c>
      <c r="L45" s="18">
        <f t="shared" si="0"/>
        <v>7.7</v>
      </c>
      <c r="M45" s="16" t="s">
        <v>22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2405603216</v>
      </c>
      <c r="C46" s="24" t="s">
        <v>685</v>
      </c>
      <c r="D46" s="22" t="s">
        <v>686</v>
      </c>
      <c r="E46" s="13" t="s">
        <v>687</v>
      </c>
      <c r="F46" s="13">
        <v>6</v>
      </c>
      <c r="G46" s="13">
        <v>5</v>
      </c>
      <c r="H46" s="13"/>
      <c r="I46" s="16"/>
      <c r="J46" s="16">
        <v>9.5</v>
      </c>
      <c r="K46" s="16">
        <v>6</v>
      </c>
      <c r="L46" s="18">
        <f t="shared" si="0"/>
        <v>6.9</v>
      </c>
      <c r="M46" s="16" t="s">
        <v>33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2405562041</v>
      </c>
      <c r="C47" s="25" t="s">
        <v>688</v>
      </c>
      <c r="D47" s="23" t="s">
        <v>524</v>
      </c>
      <c r="E47" s="15" t="s">
        <v>591</v>
      </c>
      <c r="F47" s="15">
        <v>8</v>
      </c>
      <c r="G47" s="15">
        <v>8</v>
      </c>
      <c r="H47" s="15"/>
      <c r="I47" s="17"/>
      <c r="J47" s="17">
        <v>5</v>
      </c>
      <c r="K47" s="17">
        <v>10</v>
      </c>
      <c r="L47" s="19">
        <f t="shared" si="0"/>
        <v>8</v>
      </c>
      <c r="M47" s="17" t="s">
        <v>22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2405652403</v>
      </c>
      <c r="C48" s="24" t="s">
        <v>689</v>
      </c>
      <c r="D48" s="22" t="s">
        <v>349</v>
      </c>
      <c r="E48" s="13" t="s">
        <v>353</v>
      </c>
      <c r="F48" s="13">
        <v>6</v>
      </c>
      <c r="G48" s="13">
        <v>7</v>
      </c>
      <c r="H48" s="13"/>
      <c r="I48" s="16"/>
      <c r="J48" s="16">
        <v>7.5</v>
      </c>
      <c r="K48" s="16">
        <v>6</v>
      </c>
      <c r="L48" s="18">
        <f t="shared" si="0"/>
        <v>6.6</v>
      </c>
      <c r="M48" s="16" t="s">
        <v>33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0">
        <v>42</v>
      </c>
      <c r="B49" s="13">
        <v>2405556914</v>
      </c>
      <c r="C49" s="24" t="s">
        <v>690</v>
      </c>
      <c r="D49" s="22" t="s">
        <v>691</v>
      </c>
      <c r="E49" s="13" t="s">
        <v>692</v>
      </c>
      <c r="F49" s="13">
        <v>6</v>
      </c>
      <c r="G49" s="13">
        <v>6</v>
      </c>
      <c r="H49" s="13"/>
      <c r="I49" s="16"/>
      <c r="J49" s="16">
        <v>8</v>
      </c>
      <c r="K49" s="16">
        <v>6</v>
      </c>
      <c r="L49" s="18">
        <f t="shared" si="0"/>
        <v>6.6</v>
      </c>
      <c r="M49" s="16" t="s">
        <v>33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20">
        <v>43</v>
      </c>
      <c r="B50" s="13">
        <v>2405590404</v>
      </c>
      <c r="C50" s="24" t="s">
        <v>693</v>
      </c>
      <c r="D50" s="22" t="s">
        <v>139</v>
      </c>
      <c r="E50" s="13" t="s">
        <v>694</v>
      </c>
      <c r="F50" s="13">
        <v>8</v>
      </c>
      <c r="G50" s="13">
        <v>9.5</v>
      </c>
      <c r="H50" s="13"/>
      <c r="I50" s="16"/>
      <c r="J50" s="16">
        <v>10</v>
      </c>
      <c r="K50" s="16">
        <v>8.5</v>
      </c>
      <c r="L50" s="18">
        <f t="shared" si="0"/>
        <v>9</v>
      </c>
      <c r="M50" s="16" t="s">
        <v>42</v>
      </c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21">
        <v>44</v>
      </c>
      <c r="B51" s="15">
        <v>2405555076</v>
      </c>
      <c r="C51" s="25" t="s">
        <v>695</v>
      </c>
      <c r="D51" s="23" t="s">
        <v>612</v>
      </c>
      <c r="E51" s="15" t="s">
        <v>696</v>
      </c>
      <c r="F51" s="15">
        <v>7</v>
      </c>
      <c r="G51" s="15">
        <v>5</v>
      </c>
      <c r="H51" s="15"/>
      <c r="I51" s="17"/>
      <c r="J51" s="17">
        <v>9.5</v>
      </c>
      <c r="K51" s="17">
        <v>8.5</v>
      </c>
      <c r="L51" s="19">
        <f t="shared" si="0"/>
        <v>8.1</v>
      </c>
      <c r="M51" s="17" t="s">
        <v>42</v>
      </c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2.75" customHeight="1" x14ac:dyDescent="0.35">
      <c r="A52" s="39" t="s">
        <v>141</v>
      </c>
      <c r="B52" s="40"/>
      <c r="C52" s="41"/>
      <c r="D52" s="41"/>
      <c r="E52" s="41"/>
      <c r="F52" s="40"/>
      <c r="G52" s="40"/>
      <c r="H52" s="40"/>
      <c r="I52" s="40"/>
      <c r="J52" s="42"/>
      <c r="K52" s="8"/>
      <c r="L52" s="9"/>
      <c r="M52" s="10"/>
      <c r="N52" s="11"/>
      <c r="O52" s="11"/>
      <c r="P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2.75" customHeight="1" x14ac:dyDescent="0.35">
      <c r="A53" s="43"/>
      <c r="B53" s="33"/>
      <c r="C53" s="44"/>
      <c r="D53" s="45"/>
      <c r="E53" s="45"/>
      <c r="F53" s="46"/>
      <c r="G53" s="46"/>
      <c r="H53" s="46"/>
      <c r="I53" s="46"/>
      <c r="J53" s="47"/>
    </row>
    <row r="54" spans="1:37" ht="12.75" customHeight="1" x14ac:dyDescent="0.35">
      <c r="A54" s="48" t="s">
        <v>142</v>
      </c>
      <c r="B54" s="33"/>
      <c r="C54" s="44"/>
      <c r="D54" s="45" t="s">
        <v>143</v>
      </c>
      <c r="E54" s="45"/>
      <c r="F54" s="46" t="str">
        <f>TEXT(COUNTIF(L8:L51,"&gt;="&amp;Q54),"#0")</f>
        <v>11</v>
      </c>
      <c r="G54" s="46"/>
      <c r="H54" s="31" t="s">
        <v>144</v>
      </c>
      <c r="I54" s="46" t="str">
        <f>ROUND(F54/IF(COUNTIF(L8:L51,"&gt;=0")=0,1,COUNTIF(L8:L51,"&gt;=0")),4)*100&amp;"%"</f>
        <v>25%</v>
      </c>
      <c r="J54" s="47"/>
      <c r="Q54" s="26">
        <v>7.95</v>
      </c>
    </row>
    <row r="55" spans="1:37" ht="12.75" customHeight="1" x14ac:dyDescent="0.35">
      <c r="A55" s="43" t="s">
        <v>145</v>
      </c>
      <c r="B55" s="33"/>
      <c r="C55" s="44"/>
      <c r="D55" s="45" t="s">
        <v>146</v>
      </c>
      <c r="E55" s="45"/>
      <c r="F55" s="46" t="str">
        <f>TEXT(COUNTIF(L8:L51,"&gt;="&amp;Q55)-F54,"#0")</f>
        <v>24</v>
      </c>
      <c r="G55" s="46"/>
      <c r="H55" s="31" t="s">
        <v>144</v>
      </c>
      <c r="I55" s="46" t="str">
        <f>ROUND(F55/IF(COUNTIF(L8:L51,"&gt;=0")=0,1,COUNTIF(L8:L51,"&gt;=0")),4)*100&amp;"%"</f>
        <v>54.55%</v>
      </c>
      <c r="J55" s="47"/>
      <c r="Q55" s="26">
        <v>6.45</v>
      </c>
    </row>
    <row r="56" spans="1:37" ht="12.75" customHeight="1" x14ac:dyDescent="0.35">
      <c r="A56" s="27"/>
      <c r="D56" s="45" t="s">
        <v>147</v>
      </c>
      <c r="E56" s="45"/>
      <c r="F56" s="46" t="str">
        <f>TEXT(COUNTIF(L8:L51,"&gt;="&amp;Q56)-F55-F54,"#0")</f>
        <v>9</v>
      </c>
      <c r="G56" s="46"/>
      <c r="H56" s="31" t="s">
        <v>144</v>
      </c>
      <c r="I56" s="46" t="str">
        <f>ROUND(F56/IF(COUNTIF(L8:L51,"&gt;=0")=0,1,COUNTIF(L8:L51,"&gt;=0")),4)*100&amp;"%"</f>
        <v>20.45%</v>
      </c>
      <c r="J56" s="47"/>
      <c r="Q56" s="26">
        <v>4.95</v>
      </c>
    </row>
    <row r="57" spans="1:37" ht="12.75" customHeight="1" x14ac:dyDescent="0.35">
      <c r="A57" s="28"/>
      <c r="B57" s="29"/>
      <c r="C57" s="30"/>
      <c r="D57" s="49" t="s">
        <v>148</v>
      </c>
      <c r="E57" s="49"/>
      <c r="F57" s="50" t="str">
        <f>TEXT(COUNTIF(L8:L51,"&gt;=0")-F53-F54-F55-F56,"#0")</f>
        <v>0</v>
      </c>
      <c r="G57" s="50"/>
      <c r="H57" s="32" t="s">
        <v>144</v>
      </c>
      <c r="I57" s="50" t="str">
        <f>ROUND(F57/IF(COUNTIF(L8:L51,"&gt;=0")=0,1,COUNTIF(L8:L51,"&gt;=0")),4)*100&amp;"%"</f>
        <v>0%</v>
      </c>
      <c r="J57" s="51"/>
    </row>
    <row r="65536" ht="14.5" x14ac:dyDescent="0.35"/>
  </sheetData>
  <mergeCells count="32">
    <mergeCell ref="D56:E56"/>
    <mergeCell ref="F56:G56"/>
    <mergeCell ref="I56:J56"/>
    <mergeCell ref="D57:E57"/>
    <mergeCell ref="F57:G57"/>
    <mergeCell ref="I57:J57"/>
    <mergeCell ref="A52:J53"/>
    <mergeCell ref="A54:C54"/>
    <mergeCell ref="D54:E54"/>
    <mergeCell ref="F54:G54"/>
    <mergeCell ref="I54:J54"/>
    <mergeCell ref="A55:C55"/>
    <mergeCell ref="D55:E55"/>
    <mergeCell ref="F55:G55"/>
    <mergeCell ref="I55:J55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66">
    <dataValidation type="list" allowBlank="1" showInputMessage="1" showErrorMessage="1" errorTitle="Thông báo" error="Bạn phải nhập [Đạt] = d, Đ, đ, 1   [Chưa đạt] = c, CĐ, cđ, 2" sqref="C5" xr:uid="{74052921-87BB-4603-A801-D85A51A46485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E4DE855F-B251-439E-92F2-D09ED3BD6A57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DC91376D-C715-4914-B46E-037508F62CA0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FD6D5683-B763-4487-ABD7-FCD7AD67B071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53AD5A0D-459F-4269-A6C9-1D242BA916C8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E1A71571-3213-4C1A-9B3B-E03E1061CAC0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831FBA3C-7842-4146-A4DA-125352DC28ED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EDEAC820-1509-4D1B-AA0F-952780C3EBFC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E4A3DDD9-AED2-4583-AB3A-B7D66FE3403F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817F282E-3F17-4B5E-ABFA-21A0EBF30F9B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86130E64-246C-4DB4-8EE5-DD56DC77C084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25727580-FF5F-433B-B7A5-4C67415A8688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2E0F3F9D-553B-478D-8C09-CCE33A4A1F08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74F3F3AA-041A-47C5-A79F-A05B0AA0E2E9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A1E8C278-B0DA-4CF7-83CC-6872B1F3E2C8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6361AAD3-9257-4E82-9BC8-D030B0180E9F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732EBA8A-969D-497A-A236-84E7E7E26636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2B3DBC06-8A4C-460B-A167-872BE13AB7D2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15A8B32A-D554-4ACF-907D-F5E0950AC3EF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A3F101B8-5F72-4E12-B5D1-0A57CE2E8452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B450F597-FB80-4DF7-819B-9BAFB66BFF9F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2EE47C9C-930D-4E30-B6E4-85AFAD2C5132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95327BB0-5A9A-4889-8CEB-1D44D45302DA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BCA6A157-CF9E-4543-889B-6AD886C85EB9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E6465D7A-1DE0-474D-869D-BA392E82FDCE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186E5758-FA8A-46D1-870E-E6F2D9E1ED64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C40D2CE8-6D47-486C-8773-36CA6B2A743B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69E57EA8-7838-45DF-A037-7167DF0F0C0E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BA708088-2203-42B5-A9C2-314AF78641A8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701CC7EF-7D0A-4163-BE21-0C47B001C3C5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51DC1EF7-ED44-45E7-B911-C855B7F22D6F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D31BE99D-CEC6-46D7-A8CC-570CE913061A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3CB12925-0DD5-4090-9CBB-4CBBEB331341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64D89C64-1358-4606-9863-A4F176950A53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F682A018-3DC2-433D-9BA7-5547AE521A44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8D50C1FA-6883-451C-82DA-30F3DB69E620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7A9B0497-C83D-4D23-9444-BCE0C7A6EAF7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8E764A47-93CA-4CF7-8D3F-AC6025287D6D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80EE5574-B7FC-4A22-8B16-68CBC3A254D8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AA4ACB77-9885-4F0F-9F1D-65B31CA30FE1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8A43904F-F6E4-473D-BEF1-2A9D37DE4651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BABB83E5-0A20-4743-8343-0BA7A17DBDD1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1A0A8792-1E92-4527-9F5F-152518EE2A41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201DFF5E-F859-4BBC-A054-411F7CF755CE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B04795CF-1B90-4801-ACAD-79A53E0E283D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E61648A5-603A-46AE-80DC-AF9CBD63AC2E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B931809D-6C77-4153-8708-2CB78D1C8FDA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C43407C3-33FE-4DA4-BA70-2C833D68A83B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7E041C7B-AD4A-4DAC-9F5B-3FF0B93A6FB7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0A5C30CC-7A34-43B5-8468-3F9489E0AC1E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6F6740FB-3C11-48A3-83BA-74D9687F7419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AE820685-414A-42EF-86EE-D3EB553464FA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6B903009-6286-4A8F-B432-4C0C6199FDB2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FC4E500B-46F6-4F13-833F-22896985A0FA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486289EB-DA26-4DC4-9330-372D773E17EF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A5D8AD88-33E2-4F23-996E-E021399B650E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B5F24EDC-3022-4BD6-A8F1-FE6B85F43214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9D47D9E0-D117-47AD-8C43-64D3AFCF9E83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53A7E4E5-9C41-49B7-A2EB-731BC7FF6D04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0ABEC795-C612-406C-B16A-E0F60381C303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E4A07C8A-3D90-435E-97FA-DDA50C79EF77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94E3FEE1-3F41-48E3-A36C-3B093B7FF2AC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DB0081D6-FD1D-4C86-B213-8BCBC5FA7184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B30E5976-D7D3-4A76-9796-3FA6190C5D2C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4D792C3D-F645-4A57-A8A4-3C22DDD49FEA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1CDA895C-24BC-41B1-B297-92F13E17C7BA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B38B7363-41BC-4EC2-8D64-D561E6B0B965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72CBAF4E-DC64-47CC-BBCC-C94947F36A25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37DAF7C5-985B-4178-B23F-B5899BE9F48F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E86AFD93-85E3-426B-AFCC-75D395049C20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5E60D38D-527A-4318-A2B8-BF33EF44B41B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8183CE22-301C-4EE9-81C3-64969267EAB7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1ED3173D-74B7-42BD-8F94-36689D5D39CA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97D095FB-2215-4B35-B45B-BFEED9ECDDF1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CA6B8258-EFF8-47DF-8F5D-18D7DE930EF1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DB175F26-1BBB-4329-902D-2F09A5B04CC9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2B718D9E-FFBA-417E-B97E-3BCCEA473463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D30BB742-84AE-4C29-A32C-9382B5A5DA5A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D83DA69F-EAF3-4F0B-9E4B-19021D346CF5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911057D2-4231-47B1-B53C-AF295C680DA9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D77DE14A-40E7-4452-B81F-46E4DDE5969D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69654FBB-9289-47BE-87ED-5075805DA97E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205C14D3-2E4E-43B5-A5DB-266CA8E6ECC9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3A5768F9-0FA5-46BB-9901-B026624755B5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F4204A97-757B-4C50-8FE0-D1399D9915C7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02BD0EE5-10DF-4C01-B16F-26BFC136731D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EF5D35A2-A8A2-4C93-8F24-73748FB7AC00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8BC4E7D2-4E0F-428A-AF2E-A02236A714D0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2EFA169D-D420-43B7-86ED-FFB9CA15E255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645FB54A-BA13-40F4-9441-444BFE4F70B9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DD05CB51-F1E2-4F38-8785-FF5255984F74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AFD54984-7000-4C5E-8A57-8C7DA3394F76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879F778D-E081-45AB-94D5-D2D5D1C7C2A2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78B46A2D-4C5D-453E-AA50-466F734B1613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592D8C2E-7AE0-43BC-82E1-4FFF8AB7DBC3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B7DFE420-5069-4A38-897A-89748E2D897D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3F6A2490-7EB4-4CC1-BB9F-761195FBA4AB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E126E77B-92AE-4722-A36B-DBFAC2197F17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9A463A96-9D37-40AD-8E13-F4C5FE3B11BB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5736101B-16B2-44A9-9B8F-8619A820B463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08C1DAA9-0BA6-4870-9149-240418D96D73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19EAEED6-1E0A-45FB-810D-48C6D60F1CC9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B9437A77-9242-4213-A37D-266EC1FC8462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84A0BC23-3E02-41DB-8D06-FE80274D15A5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A5092FF7-CF60-4A87-8969-BB3AD5E954C1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F597ECD7-35E0-4BCD-AF4B-12880FB586D9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92F93AA5-B31A-4954-A925-E0D29B873318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17D36457-2530-46CE-8A6A-B5295228685F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1CBD7C42-E7A9-4412-B51A-C06C2A2BF3B2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DE43D866-7C11-46D1-AE2F-5DC7B574FD7D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38F9CED6-8D52-4DF5-96C8-CD2673FE866E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B6AB5C14-7ED7-483B-9767-1493B45B0A9D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91FDB6E8-E65C-446D-B7C9-4896189A568B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FB6FB29F-925A-4E3E-AFA8-198B0EFF13D4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EBD832BB-A002-4C1C-BD0A-9169685AD6B2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2258C0E4-1E6A-41F8-9CF5-221B0D0704AE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7DB5A2EE-9427-44E9-AA60-BEA8F12C483F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B87DC56F-69B1-47FA-B5B1-CBF5D8367213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96EBE749-8941-46F2-9FA4-ECDAD7B51E77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F9CCAB66-D765-43C7-8091-5397789BF7B0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896DF86F-4886-4CAD-8362-4193EBBDED15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D96273E4-55E2-4F65-A849-18DC128E5301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6021C5CA-9663-48DA-B812-0BDF9CDEF462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DAA69C79-7B58-41F2-995C-DA34FEA479AA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B3987D9A-78F7-477E-8B13-6B2E71D53126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20835300-2A40-45C8-8BF9-E8207C86CFC5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004F43E4-8673-4D9D-A9D5-E36BC7F99256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F1705B06-A4C8-4E06-A255-3186B1D78F01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151CB6E4-0571-4F36-8E8D-8C2D4A4826BF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556A1CE2-08F7-45B5-B9F4-67DF8F880AA6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00D7A136-4EC3-4341-AE09-310FAC1102DB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F1705AB0-A109-4A46-BB6C-FA535ABA5161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2A048E52-F4F2-43A6-B403-E14E3EFB4F3C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EE903EEC-A9E5-4B07-8902-8B8F19119AAF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D2567DAE-BE5D-4567-900A-695B2C5DC95F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864B9E8E-10A2-461B-B8B6-05605FEFCCD7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4D50FE50-44D7-4B2F-9193-5AD77886AF30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E5AB611A-A201-4639-BFAD-111D484B5B47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950BF86A-6DFB-4E52-8AC1-FF636F5E1A34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3FA20B60-7B38-471D-AD7F-6C022CBFE5F8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8E374833-9AFF-4E1E-A7C7-3CAFDD456103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4BC8010E-1CE1-467B-85D2-F22EBB30E9C9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93B85DB9-185F-41C2-9A0B-CAB0A95AD36A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19639390-CA7B-4928-91FD-785F2ACA36BD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92F4AC8A-1587-48F2-A51D-C34DF35FCB7F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E02EDC70-8C6A-44C6-85CC-C861FA06C7CE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753F438D-841E-40E9-AF0D-4229A797D29C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AE867D1B-80A9-4980-8699-385CE77DADAF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D27A48E9-1D7F-4AF0-90BD-12F8C251073D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D8616561-DA88-4F36-B92B-04721C417EF0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EA7E7FAD-3F11-4750-9839-72C392CA29F6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F7B4D927-AF91-4016-89FB-AD11766EE704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5646DF2F-C8D9-4FB5-961E-060BC23162AD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8ED31977-1D9F-4BC0-9E88-E145C71E6EC3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C374F4EA-E105-49DB-A9FB-9CDADFB32E0C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68521F50-5350-4219-A898-C77032145887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5FE5AB3A-D9F5-4492-8FDA-3971E167DB80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E82DABA6-2A89-4C14-959B-3CB26CA89DE8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D1BB1C47-9575-4BD9-8E03-FC6F86CF6F9A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6BB4A750-BF9A-476A-89EE-78FC18DE5971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AA06F702-E215-45C8-894E-965DC4FCAD26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FF86181F-D98F-46B2-B43F-8DB6D7074B0C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199D7258-CDA1-4F16-A5A5-1FA8ED4676E0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DEE985D3-2AEF-490D-A5DD-C8478A8BF3D1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15B27090-3827-4CB1-91BF-E7FD62057506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94A73D80-B4F5-4DFB-8BE2-F1351AABB86A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206191EA-CF86-4553-82FC-9B45F53949D5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BA6FB26E-0546-406A-B804-2DC7F9A887FD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C8E1EFF4-69D7-4F5B-8284-57293968DD4B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3B70D4F0-AF26-47CA-92E9-C9714D2C66C8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5684077F-5026-431A-B71C-1BEF44C94F1E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BA36DCE7-9733-40B9-A122-7C4499CCBAEF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DB814450-6850-40BF-902B-C221A7A7C0EE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E4496195-F455-44EF-BF02-7275E18CBB17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F58AA6C0-4584-432F-8F16-34DC05C6E59A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0B6C8DE8-4C3B-4F16-9E4E-D4B9B3AA93E9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D0F228C6-8E58-4B22-A14B-9B3CB1F55B1D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D581E186-1C10-495A-B091-F5380C2F1D9B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28DF0C31-316D-44B0-8251-35928B6C59AD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9A6D95E8-DB80-44CC-AC57-3F162FC29B17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A219B66E-67B0-4786-BEA7-E9A8DDA12116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FA4F10BA-545A-4144-B523-F07BF6988D44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8E396EA0-01DD-4F93-B130-AE89F0E7718D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1055DBAF-809D-4F61-B59C-260725660C4F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B03F9C8F-2734-4A73-A654-2163C9FEF511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06DFEFB9-B822-49F4-AC8A-DF682F4FD850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23D5B77D-831D-4848-A649-65DB81DA3F02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5C043156-5758-4191-BD8F-A29D89020D9F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E18CA83F-D366-425B-812F-3CEC3857E853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D08E90AC-9D48-4E05-8B25-9EBE6F9245BF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C6C41853-2A23-4793-B819-65ACF9A076BD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3ACF4745-0E59-4914-99CE-2CB3CF00603A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AF16AFB2-8416-4590-A8BA-C6C39FA5B2D8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87A58054-1D5E-4510-B62F-4E52E14A514D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E008F436-9F41-47F4-896B-20226F69A8F1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90626D2D-36F4-4247-8E4C-57EB63C3BD41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A558057F-C8D6-479E-9A64-1C1C590423BB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261F2CF5-A037-4A6A-B950-98A3936F865B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72F5FFE5-4F8B-411F-9686-C3CACD26CF7F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6D7E8AC9-BFD3-40CC-804E-11CE05BE2752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EED95670-D2DE-47E0-B0C8-B66C3F462748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0D242824-2279-4C55-A557-F29F2431480B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F2EABFE0-81D1-4357-91D9-377AA8223894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1EC3317A-8953-4EFB-B7C7-832E19A32974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76E14C63-8C10-4F48-8D38-90B5F266B938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A17D1EF8-B161-4761-8EE2-BA75F6F23764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6A3F3B3D-E63F-453B-8C8D-CF02B6655890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36FF0499-81C7-4FDB-A93E-3BB49975EB62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40B910B4-824A-4304-8530-6AB390E049B1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6327FE25-61FE-4A1F-A660-09B20CFC1FEC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85478E62-5FC5-4B4E-A870-2A8CD63C2259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04E88AA6-301D-4191-B060-055C3199F849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8455120B-5342-4D11-848A-F55A69C66147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DD359060-33C2-49B9-9095-BEDE03625DC9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BDEAD3BB-51B2-4D0D-B07E-8B53F5DCE03F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591C20CE-B664-47BF-9969-A8C7DAF6C790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D8BC4AB5-8EB8-42E2-91C5-FCE1ED5E2268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D3D3730D-5E09-413D-91AB-869AF499E53B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51626A27-04C5-4F17-BF12-387D6027E148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6DA34958-2C27-41FF-963A-52BFCC64D5A1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771B35EB-ECC8-4CCB-A1DC-2C3523087493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06E9AA83-0C3F-4078-A867-DB4BD5C3A683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48FD390B-5EBE-4DBA-B7C9-B73B3FCA9E75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8213F045-91AF-42E5-BF08-F976079975E9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4545E7F6-FEF9-4925-BE62-8BC5544A7482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B2CE348D-9AC6-4441-89A4-30F942D4A62E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65D74E17-5FBB-49EC-BC02-42FF2CFC7A07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42047C35-9482-41BE-887C-71E14849B1CB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BC9B0B1E-9E3D-41C0-B7A7-3CE5EFED12FE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9B341F96-0EAF-4ED1-9570-1D2EA7A3FB2A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0AA1EED7-E811-4FC8-B519-35271F4C9A28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64C0D6E8-2DF0-4BF4-9ED8-AE08F82E7AEB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3134F4D6-F1DC-4BA1-B871-2E88F85CB020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11072C05-197C-4560-8B4B-2E5F967A412D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8C1CF118-4A79-4B92-924D-C4284D7022CC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7E517CAD-6642-483F-8D29-E6CA0AC7E915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0BD66335-9B72-4EA7-BA79-6AF6ECFE38D8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A5D13880-3946-461A-9977-2B2E871BC16D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64E7618E-0D1E-4323-81F1-4585292A2EFB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88072A48-F4EF-43D3-B7F9-5A0759CCD647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94C7476E-DF4B-484F-9E72-F608B561672B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FEE0584A-45E6-4B78-807F-95A46110B9F6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E3259EE8-EEE8-42E8-ACDB-A4A41130EBB4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655E9CB5-E3AB-41FF-9DAE-95609D412897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10F4DA92-B7CD-4CF9-8521-822410F3312A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181ECEAB-BAA4-47B8-B1CD-C283AE6E4BED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33568956-AB3F-481C-A912-B32BD6B11D4E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F02BB26F-760F-4B96-968A-FBBF9112DFBD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A5D62ACA-3C7B-4940-A02F-4A9920F6953A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BF9B6045-0ADA-4672-9B93-4B90BCED5A4C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9635A779-1619-4A0F-98E4-3C90925C68BD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3D4B5149-9A03-46E6-99C9-643945D731EA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1E7E1AD0-A7D1-4E4E-9D41-C88B8E055557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7B030741-D05C-4E0F-8385-8B6D06941C46}">
      <formula1>0</formula1>
      <formula2>10</formula2>
    </dataValidation>
    <dataValidation type="decimal" allowBlank="1" showInputMessage="1" showErrorMessage="1" errorTitle="Thông báo" error="Giá trị con điểm phải là số &gt;=0 và &lt;=10 " sqref="F50" xr:uid="{B4061C33-C651-4338-85CB-3241E34BF74B}">
      <formula1>0</formula1>
      <formula2>10</formula2>
    </dataValidation>
    <dataValidation type="decimal" allowBlank="1" showInputMessage="1" showErrorMessage="1" errorTitle="Thông báo" error="Giá trị con điểm phải là số &gt;=0 và &lt;=10 " sqref="G50" xr:uid="{F82FB9D6-70CC-4DCD-AAF3-3C972AB8B45F}">
      <formula1>0</formula1>
      <formula2>10</formula2>
    </dataValidation>
    <dataValidation type="decimal" allowBlank="1" showInputMessage="1" showErrorMessage="1" errorTitle="Thông báo" error="Giá trị con điểm phải là số &gt;=0 và &lt;=10 " sqref="H50" xr:uid="{A388EA2E-D487-4106-8D07-A8A983D5AF12}">
      <formula1>0</formula1>
      <formula2>10</formula2>
    </dataValidation>
    <dataValidation type="decimal" allowBlank="1" showInputMessage="1" showErrorMessage="1" errorTitle="Thông báo" error="Giá trị con điểm phải là số &gt;=0 và &lt;=10 " sqref="I50" xr:uid="{B2B4F022-1DDA-411C-998E-751FA197E13A}">
      <formula1>0</formula1>
      <formula2>10</formula2>
    </dataValidation>
    <dataValidation type="decimal" allowBlank="1" showInputMessage="1" showErrorMessage="1" errorTitle="Thông báo" error="Giá trị con điểm phải là số &gt;=0 và &lt;=10 " sqref="J50" xr:uid="{C080CC63-4DFE-4904-B749-720F8DEAE796}">
      <formula1>0</formula1>
      <formula2>10</formula2>
    </dataValidation>
    <dataValidation type="decimal" allowBlank="1" showInputMessage="1" showErrorMessage="1" errorTitle="Thông báo" error="Giá trị con điểm phải là số &gt;=0 và &lt;=10 " sqref="K50" xr:uid="{1E5F7D72-3060-4A5A-8C2D-3FA9EE21FE5D}">
      <formula1>0</formula1>
      <formula2>10</formula2>
    </dataValidation>
    <dataValidation type="decimal" allowBlank="1" showInputMessage="1" showErrorMessage="1" errorTitle="Thông báo" error="Giá trị con điểm phải là số &gt;=0 và &lt;=10 " sqref="F51" xr:uid="{5E022A3A-3095-4DEC-981C-4FD966C2FD6E}">
      <formula1>0</formula1>
      <formula2>10</formula2>
    </dataValidation>
    <dataValidation type="decimal" allowBlank="1" showInputMessage="1" showErrorMessage="1" errorTitle="Thông báo" error="Giá trị con điểm phải là số &gt;=0 và &lt;=10 " sqref="G51" xr:uid="{087083AD-9D73-431C-852A-3D338D96239D}">
      <formula1>0</formula1>
      <formula2>10</formula2>
    </dataValidation>
    <dataValidation type="decimal" allowBlank="1" showInputMessage="1" showErrorMessage="1" errorTitle="Thông báo" error="Giá trị con điểm phải là số &gt;=0 và &lt;=10 " sqref="H51" xr:uid="{602A3A87-922E-4C61-8924-8A10B4A71B02}">
      <formula1>0</formula1>
      <formula2>10</formula2>
    </dataValidation>
    <dataValidation type="decimal" allowBlank="1" showInputMessage="1" showErrorMessage="1" errorTitle="Thông báo" error="Giá trị con điểm phải là số &gt;=0 và &lt;=10 " sqref="I51" xr:uid="{B67ACE77-6CBD-4C74-8FD4-09F852692D61}">
      <formula1>0</formula1>
      <formula2>10</formula2>
    </dataValidation>
    <dataValidation type="decimal" allowBlank="1" showInputMessage="1" showErrorMessage="1" errorTitle="Thông báo" error="Giá trị con điểm phải là số &gt;=0 và &lt;=10 " sqref="J51" xr:uid="{20B62607-7897-4CD9-B6A4-FDBD68787248}">
      <formula1>0</formula1>
      <formula2>10</formula2>
    </dataValidation>
    <dataValidation type="decimal" allowBlank="1" showInputMessage="1" showErrorMessage="1" errorTitle="Thông báo" error="Giá trị con điểm phải là số &gt;=0 và &lt;=10 " sqref="K51" xr:uid="{481ABDE0-890A-434E-963B-DFDFE038278E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02F6-DD1D-4B0F-9DDA-D3B6BEC0A6D6}">
  <dimension ref="A1:AK65536"/>
  <sheetViews>
    <sheetView showRuler="0" zoomScaleNormal="100" workbookViewId="0">
      <selection activeCell="D52" sqref="D52:J56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697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2306397606</v>
      </c>
      <c r="C8" s="24" t="s">
        <v>698</v>
      </c>
      <c r="D8" s="22" t="s">
        <v>24</v>
      </c>
      <c r="E8" s="13" t="s">
        <v>699</v>
      </c>
      <c r="F8" s="13">
        <v>6</v>
      </c>
      <c r="G8" s="13">
        <v>8.5</v>
      </c>
      <c r="H8" s="13"/>
      <c r="I8" s="16"/>
      <c r="J8" s="16">
        <v>8.5</v>
      </c>
      <c r="K8" s="16">
        <v>6.5</v>
      </c>
      <c r="L8" s="18">
        <f t="shared" ref="L8:L50" si="0">IF((COUNT(F8:I8)+COUNT(J8:J8)*2+COUNT(K8:K8)*3),ROUND((SUM(F8:I8)+SUM(J8:J8)*2+SUM(K8:K8)*3)/(COUNT(F8:I8)+COUNT(J8:J8)*2+COUNT(K8:K8)*3),1),"")</f>
        <v>7.3</v>
      </c>
      <c r="M8" s="16" t="s">
        <v>33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2404705768</v>
      </c>
      <c r="C9" s="24" t="s">
        <v>700</v>
      </c>
      <c r="D9" s="22" t="s">
        <v>24</v>
      </c>
      <c r="E9" s="13" t="s">
        <v>701</v>
      </c>
      <c r="F9" s="13">
        <v>6</v>
      </c>
      <c r="G9" s="13">
        <v>6.5</v>
      </c>
      <c r="H9" s="13"/>
      <c r="I9" s="16"/>
      <c r="J9" s="16">
        <v>5</v>
      </c>
      <c r="K9" s="16">
        <v>6</v>
      </c>
      <c r="L9" s="18">
        <f t="shared" si="0"/>
        <v>5.8</v>
      </c>
      <c r="M9" s="16" t="s">
        <v>33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2404705880</v>
      </c>
      <c r="C10" s="24" t="s">
        <v>702</v>
      </c>
      <c r="D10" s="22" t="s">
        <v>162</v>
      </c>
      <c r="E10" s="13" t="s">
        <v>206</v>
      </c>
      <c r="F10" s="13">
        <v>5</v>
      </c>
      <c r="G10" s="13">
        <v>7</v>
      </c>
      <c r="H10" s="13"/>
      <c r="I10" s="16"/>
      <c r="J10" s="16">
        <v>5.5</v>
      </c>
      <c r="K10" s="16">
        <v>6</v>
      </c>
      <c r="L10" s="18">
        <f t="shared" si="0"/>
        <v>5.9</v>
      </c>
      <c r="M10" s="16" t="s">
        <v>460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2404707959</v>
      </c>
      <c r="C11" s="24" t="s">
        <v>61</v>
      </c>
      <c r="D11" s="22" t="s">
        <v>35</v>
      </c>
      <c r="E11" s="13" t="s">
        <v>703</v>
      </c>
      <c r="F11" s="13">
        <v>7</v>
      </c>
      <c r="G11" s="13">
        <v>9</v>
      </c>
      <c r="H11" s="13"/>
      <c r="I11" s="16"/>
      <c r="J11" s="16">
        <v>5</v>
      </c>
      <c r="K11" s="16">
        <v>6.5</v>
      </c>
      <c r="L11" s="18">
        <f t="shared" si="0"/>
        <v>6.5</v>
      </c>
      <c r="M11" s="16" t="s">
        <v>42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2404706085</v>
      </c>
      <c r="C12" s="25" t="s">
        <v>704</v>
      </c>
      <c r="D12" s="23" t="s">
        <v>456</v>
      </c>
      <c r="E12" s="15" t="s">
        <v>401</v>
      </c>
      <c r="F12" s="15">
        <v>7</v>
      </c>
      <c r="G12" s="15">
        <v>9</v>
      </c>
      <c r="H12" s="15"/>
      <c r="I12" s="17"/>
      <c r="J12" s="17">
        <v>9</v>
      </c>
      <c r="K12" s="17">
        <v>6</v>
      </c>
      <c r="L12" s="19">
        <f t="shared" si="0"/>
        <v>7.4</v>
      </c>
      <c r="M12" s="17" t="s">
        <v>42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2404708161</v>
      </c>
      <c r="C13" s="24" t="s">
        <v>705</v>
      </c>
      <c r="D13" s="22" t="s">
        <v>706</v>
      </c>
      <c r="E13" s="13" t="s">
        <v>297</v>
      </c>
      <c r="F13" s="13">
        <v>5</v>
      </c>
      <c r="G13" s="13">
        <v>5</v>
      </c>
      <c r="H13" s="13"/>
      <c r="I13" s="16"/>
      <c r="J13" s="16">
        <v>5</v>
      </c>
      <c r="K13" s="16">
        <v>6</v>
      </c>
      <c r="L13" s="18">
        <f t="shared" si="0"/>
        <v>5.4</v>
      </c>
      <c r="M13" s="16" t="s">
        <v>274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2404708356</v>
      </c>
      <c r="C14" s="24" t="s">
        <v>707</v>
      </c>
      <c r="D14" s="22" t="s">
        <v>708</v>
      </c>
      <c r="E14" s="13" t="s">
        <v>282</v>
      </c>
      <c r="F14" s="13">
        <v>5</v>
      </c>
      <c r="G14" s="13">
        <v>7.5</v>
      </c>
      <c r="H14" s="13"/>
      <c r="I14" s="16"/>
      <c r="J14" s="16">
        <v>5</v>
      </c>
      <c r="K14" s="16">
        <v>6</v>
      </c>
      <c r="L14" s="18">
        <f t="shared" si="0"/>
        <v>5.8</v>
      </c>
      <c r="M14" s="16" t="s">
        <v>274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2304932254</v>
      </c>
      <c r="C15" s="24" t="s">
        <v>416</v>
      </c>
      <c r="D15" s="22" t="s">
        <v>709</v>
      </c>
      <c r="E15" s="13" t="s">
        <v>710</v>
      </c>
      <c r="F15" s="13">
        <v>5</v>
      </c>
      <c r="G15" s="13">
        <v>5</v>
      </c>
      <c r="H15" s="13"/>
      <c r="I15" s="16"/>
      <c r="J15" s="16">
        <v>5</v>
      </c>
      <c r="K15" s="16">
        <v>6</v>
      </c>
      <c r="L15" s="18">
        <f t="shared" si="0"/>
        <v>5.4</v>
      </c>
      <c r="M15" s="16" t="s">
        <v>274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2404709036</v>
      </c>
      <c r="C16" s="24" t="s">
        <v>711</v>
      </c>
      <c r="D16" s="22" t="s">
        <v>712</v>
      </c>
      <c r="E16" s="13" t="s">
        <v>420</v>
      </c>
      <c r="F16" s="13">
        <v>6</v>
      </c>
      <c r="G16" s="13">
        <v>5</v>
      </c>
      <c r="H16" s="13"/>
      <c r="I16" s="16"/>
      <c r="J16" s="16">
        <v>5</v>
      </c>
      <c r="K16" s="16">
        <v>6</v>
      </c>
      <c r="L16" s="18">
        <f t="shared" si="0"/>
        <v>5.6</v>
      </c>
      <c r="M16" s="16" t="s">
        <v>33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2405060264</v>
      </c>
      <c r="C17" s="25" t="s">
        <v>713</v>
      </c>
      <c r="D17" s="23" t="s">
        <v>714</v>
      </c>
      <c r="E17" s="15" t="s">
        <v>715</v>
      </c>
      <c r="F17" s="15">
        <v>5</v>
      </c>
      <c r="G17" s="15">
        <v>8</v>
      </c>
      <c r="H17" s="15"/>
      <c r="I17" s="17"/>
      <c r="J17" s="17">
        <v>5</v>
      </c>
      <c r="K17" s="17">
        <v>6</v>
      </c>
      <c r="L17" s="19">
        <f t="shared" si="0"/>
        <v>5.9</v>
      </c>
      <c r="M17" s="17" t="s">
        <v>33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2404710754</v>
      </c>
      <c r="C18" s="24" t="s">
        <v>716</v>
      </c>
      <c r="D18" s="22" t="s">
        <v>717</v>
      </c>
      <c r="E18" s="13" t="s">
        <v>309</v>
      </c>
      <c r="F18" s="13">
        <v>8</v>
      </c>
      <c r="G18" s="13">
        <v>8</v>
      </c>
      <c r="H18" s="13"/>
      <c r="I18" s="16"/>
      <c r="J18" s="16">
        <v>9.5</v>
      </c>
      <c r="K18" s="16">
        <v>9</v>
      </c>
      <c r="L18" s="18">
        <f t="shared" si="0"/>
        <v>8.9</v>
      </c>
      <c r="M18" s="16" t="s">
        <v>22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2404918241</v>
      </c>
      <c r="C19" s="24" t="s">
        <v>68</v>
      </c>
      <c r="D19" s="22" t="s">
        <v>718</v>
      </c>
      <c r="E19" s="13" t="s">
        <v>701</v>
      </c>
      <c r="F19" s="13">
        <v>7</v>
      </c>
      <c r="G19" s="13">
        <v>7</v>
      </c>
      <c r="H19" s="13"/>
      <c r="I19" s="16"/>
      <c r="J19" s="16">
        <v>5</v>
      </c>
      <c r="K19" s="16">
        <v>6</v>
      </c>
      <c r="L19" s="18">
        <f t="shared" si="0"/>
        <v>6</v>
      </c>
      <c r="M19" s="16" t="s">
        <v>42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2404918258</v>
      </c>
      <c r="C20" s="24" t="s">
        <v>560</v>
      </c>
      <c r="D20" s="22" t="s">
        <v>64</v>
      </c>
      <c r="E20" s="13" t="s">
        <v>719</v>
      </c>
      <c r="F20" s="13">
        <v>5</v>
      </c>
      <c r="G20" s="13">
        <v>6.5</v>
      </c>
      <c r="H20" s="13"/>
      <c r="I20" s="16"/>
      <c r="J20" s="16">
        <v>6.5</v>
      </c>
      <c r="K20" s="16">
        <v>6.5</v>
      </c>
      <c r="L20" s="18">
        <f t="shared" si="0"/>
        <v>6.3</v>
      </c>
      <c r="M20" s="16" t="s">
        <v>274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2404918165</v>
      </c>
      <c r="C21" s="24" t="s">
        <v>720</v>
      </c>
      <c r="D21" s="22" t="s">
        <v>388</v>
      </c>
      <c r="E21" s="13" t="s">
        <v>208</v>
      </c>
      <c r="F21" s="13">
        <v>5</v>
      </c>
      <c r="G21" s="13">
        <v>7</v>
      </c>
      <c r="H21" s="13"/>
      <c r="I21" s="16"/>
      <c r="J21" s="16">
        <v>7</v>
      </c>
      <c r="K21" s="16">
        <v>6.5</v>
      </c>
      <c r="L21" s="18">
        <f t="shared" si="0"/>
        <v>6.5</v>
      </c>
      <c r="M21" s="16" t="s">
        <v>274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2404918326</v>
      </c>
      <c r="C22" s="25" t="s">
        <v>721</v>
      </c>
      <c r="D22" s="23" t="s">
        <v>722</v>
      </c>
      <c r="E22" s="15" t="s">
        <v>536</v>
      </c>
      <c r="F22" s="15">
        <v>8</v>
      </c>
      <c r="G22" s="15">
        <v>8.5</v>
      </c>
      <c r="H22" s="15"/>
      <c r="I22" s="17"/>
      <c r="J22" s="17">
        <v>7.5</v>
      </c>
      <c r="K22" s="17">
        <v>8.5</v>
      </c>
      <c r="L22" s="19">
        <f t="shared" si="0"/>
        <v>8.1</v>
      </c>
      <c r="M22" s="17" t="s">
        <v>22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2404918459</v>
      </c>
      <c r="C23" s="24" t="s">
        <v>723</v>
      </c>
      <c r="D23" s="22" t="s">
        <v>724</v>
      </c>
      <c r="E23" s="13" t="s">
        <v>725</v>
      </c>
      <c r="F23" s="13">
        <v>5</v>
      </c>
      <c r="G23" s="13">
        <v>7</v>
      </c>
      <c r="H23" s="13"/>
      <c r="I23" s="16"/>
      <c r="J23" s="16">
        <v>8</v>
      </c>
      <c r="K23" s="16">
        <v>6.5</v>
      </c>
      <c r="L23" s="18">
        <f t="shared" si="0"/>
        <v>6.8</v>
      </c>
      <c r="M23" s="16" t="s">
        <v>274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2404918519</v>
      </c>
      <c r="C24" s="24" t="s">
        <v>726</v>
      </c>
      <c r="D24" s="22" t="s">
        <v>727</v>
      </c>
      <c r="E24" s="13" t="s">
        <v>728</v>
      </c>
      <c r="F24" s="13">
        <v>6</v>
      </c>
      <c r="G24" s="13">
        <v>9</v>
      </c>
      <c r="H24" s="13"/>
      <c r="I24" s="16"/>
      <c r="J24" s="16">
        <v>8</v>
      </c>
      <c r="K24" s="16">
        <v>7.5</v>
      </c>
      <c r="L24" s="18">
        <f t="shared" si="0"/>
        <v>7.6</v>
      </c>
      <c r="M24" s="16" t="s">
        <v>33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2508470107</v>
      </c>
      <c r="C25" s="24" t="s">
        <v>729</v>
      </c>
      <c r="D25" s="22" t="s">
        <v>78</v>
      </c>
      <c r="E25" s="13" t="s">
        <v>413</v>
      </c>
      <c r="F25" s="13">
        <v>5</v>
      </c>
      <c r="G25" s="13">
        <v>8</v>
      </c>
      <c r="H25" s="13"/>
      <c r="I25" s="16"/>
      <c r="J25" s="16">
        <v>9.5</v>
      </c>
      <c r="K25" s="16">
        <v>8</v>
      </c>
      <c r="L25" s="18">
        <f t="shared" si="0"/>
        <v>8</v>
      </c>
      <c r="M25" s="16" t="s">
        <v>274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2404918621</v>
      </c>
      <c r="C26" s="24" t="s">
        <v>523</v>
      </c>
      <c r="D26" s="22" t="s">
        <v>576</v>
      </c>
      <c r="E26" s="13" t="s">
        <v>350</v>
      </c>
      <c r="F26" s="13">
        <v>7</v>
      </c>
      <c r="G26" s="13">
        <v>5</v>
      </c>
      <c r="H26" s="13"/>
      <c r="I26" s="16"/>
      <c r="J26" s="16">
        <v>5</v>
      </c>
      <c r="K26" s="16">
        <v>6</v>
      </c>
      <c r="L26" s="18">
        <f t="shared" si="0"/>
        <v>5.7</v>
      </c>
      <c r="M26" s="16" t="s">
        <v>42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2404918704</v>
      </c>
      <c r="C27" s="25" t="s">
        <v>730</v>
      </c>
      <c r="D27" s="23" t="s">
        <v>731</v>
      </c>
      <c r="E27" s="15" t="s">
        <v>490</v>
      </c>
      <c r="F27" s="15">
        <v>5</v>
      </c>
      <c r="G27" s="15">
        <v>5</v>
      </c>
      <c r="H27" s="15"/>
      <c r="I27" s="17"/>
      <c r="J27" s="17">
        <v>5</v>
      </c>
      <c r="K27" s="17">
        <v>6</v>
      </c>
      <c r="L27" s="19">
        <f t="shared" si="0"/>
        <v>5.4</v>
      </c>
      <c r="M27" s="17" t="s">
        <v>274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2404918736</v>
      </c>
      <c r="C28" s="24" t="s">
        <v>732</v>
      </c>
      <c r="D28" s="22" t="s">
        <v>733</v>
      </c>
      <c r="E28" s="13" t="s">
        <v>158</v>
      </c>
      <c r="F28" s="13">
        <v>5</v>
      </c>
      <c r="G28" s="13">
        <v>5</v>
      </c>
      <c r="H28" s="13"/>
      <c r="I28" s="16"/>
      <c r="J28" s="16">
        <v>7.5</v>
      </c>
      <c r="K28" s="16">
        <v>6</v>
      </c>
      <c r="L28" s="18">
        <f t="shared" si="0"/>
        <v>6.1</v>
      </c>
      <c r="M28" s="16" t="s">
        <v>274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2404918779</v>
      </c>
      <c r="C29" s="24" t="s">
        <v>734</v>
      </c>
      <c r="D29" s="22" t="s">
        <v>98</v>
      </c>
      <c r="E29" s="13" t="s">
        <v>300</v>
      </c>
      <c r="F29" s="13">
        <v>8</v>
      </c>
      <c r="G29" s="13">
        <v>8.5</v>
      </c>
      <c r="H29" s="13"/>
      <c r="I29" s="16"/>
      <c r="J29" s="16">
        <v>5</v>
      </c>
      <c r="K29" s="16">
        <v>9.5</v>
      </c>
      <c r="L29" s="18">
        <f t="shared" si="0"/>
        <v>7.9</v>
      </c>
      <c r="M29" s="16" t="s">
        <v>22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2404918946</v>
      </c>
      <c r="C30" s="24" t="s">
        <v>735</v>
      </c>
      <c r="D30" s="22" t="s">
        <v>105</v>
      </c>
      <c r="E30" s="13" t="s">
        <v>343</v>
      </c>
      <c r="F30" s="13">
        <v>5</v>
      </c>
      <c r="G30" s="13">
        <v>5</v>
      </c>
      <c r="H30" s="13"/>
      <c r="I30" s="16"/>
      <c r="J30" s="16">
        <v>9.5</v>
      </c>
      <c r="K30" s="16">
        <v>6.5</v>
      </c>
      <c r="L30" s="18">
        <f t="shared" si="0"/>
        <v>6.9</v>
      </c>
      <c r="M30" s="16" t="s">
        <v>33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2405592230</v>
      </c>
      <c r="C31" s="24" t="s">
        <v>736</v>
      </c>
      <c r="D31" s="22" t="s">
        <v>737</v>
      </c>
      <c r="E31" s="13" t="s">
        <v>738</v>
      </c>
      <c r="F31" s="13">
        <v>6</v>
      </c>
      <c r="G31" s="13">
        <v>9</v>
      </c>
      <c r="H31" s="13"/>
      <c r="I31" s="16"/>
      <c r="J31" s="16">
        <v>9</v>
      </c>
      <c r="K31" s="16">
        <v>7</v>
      </c>
      <c r="L31" s="18">
        <f t="shared" si="0"/>
        <v>7.7</v>
      </c>
      <c r="M31" s="16" t="s">
        <v>33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2404919378</v>
      </c>
      <c r="C32" s="25" t="s">
        <v>739</v>
      </c>
      <c r="D32" s="23" t="s">
        <v>108</v>
      </c>
      <c r="E32" s="15" t="s">
        <v>740</v>
      </c>
      <c r="F32" s="15">
        <v>7</v>
      </c>
      <c r="G32" s="15">
        <v>7.5</v>
      </c>
      <c r="H32" s="15"/>
      <c r="I32" s="17"/>
      <c r="J32" s="17">
        <v>5</v>
      </c>
      <c r="K32" s="17">
        <v>6</v>
      </c>
      <c r="L32" s="19">
        <f t="shared" si="0"/>
        <v>6.1</v>
      </c>
      <c r="M32" s="17" t="s">
        <v>42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2404919431</v>
      </c>
      <c r="C33" s="24" t="s">
        <v>741</v>
      </c>
      <c r="D33" s="22" t="s">
        <v>108</v>
      </c>
      <c r="E33" s="13" t="s">
        <v>648</v>
      </c>
      <c r="F33" s="13">
        <v>6</v>
      </c>
      <c r="G33" s="13">
        <v>8.5</v>
      </c>
      <c r="H33" s="13"/>
      <c r="I33" s="16"/>
      <c r="J33" s="16">
        <v>9.5</v>
      </c>
      <c r="K33" s="16">
        <v>6.5</v>
      </c>
      <c r="L33" s="18">
        <f t="shared" si="0"/>
        <v>7.6</v>
      </c>
      <c r="M33" s="16" t="s">
        <v>33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2404919407</v>
      </c>
      <c r="C34" s="24" t="s">
        <v>742</v>
      </c>
      <c r="D34" s="22" t="s">
        <v>108</v>
      </c>
      <c r="E34" s="13" t="s">
        <v>208</v>
      </c>
      <c r="F34" s="13">
        <v>5</v>
      </c>
      <c r="G34" s="13">
        <v>6.5</v>
      </c>
      <c r="H34" s="13"/>
      <c r="I34" s="16"/>
      <c r="J34" s="16">
        <v>5</v>
      </c>
      <c r="K34" s="16">
        <v>6.5</v>
      </c>
      <c r="L34" s="18">
        <f t="shared" si="0"/>
        <v>5.9</v>
      </c>
      <c r="M34" s="16" t="s">
        <v>274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2404919509</v>
      </c>
      <c r="C35" s="24" t="s">
        <v>743</v>
      </c>
      <c r="D35" s="22" t="s">
        <v>744</v>
      </c>
      <c r="E35" s="13" t="s">
        <v>745</v>
      </c>
      <c r="F35" s="13">
        <v>5</v>
      </c>
      <c r="G35" s="13">
        <v>9</v>
      </c>
      <c r="H35" s="13"/>
      <c r="I35" s="16"/>
      <c r="J35" s="16">
        <v>5</v>
      </c>
      <c r="K35" s="16">
        <v>6</v>
      </c>
      <c r="L35" s="18">
        <f t="shared" si="0"/>
        <v>6</v>
      </c>
      <c r="M35" s="16" t="s">
        <v>274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2404922108</v>
      </c>
      <c r="C36" s="24" t="s">
        <v>746</v>
      </c>
      <c r="D36" s="22" t="s">
        <v>111</v>
      </c>
      <c r="E36" s="13" t="s">
        <v>48</v>
      </c>
      <c r="F36" s="13">
        <v>7</v>
      </c>
      <c r="G36" s="13">
        <v>6</v>
      </c>
      <c r="H36" s="13"/>
      <c r="I36" s="16"/>
      <c r="J36" s="16">
        <v>5</v>
      </c>
      <c r="K36" s="16">
        <v>6</v>
      </c>
      <c r="L36" s="18">
        <f t="shared" si="0"/>
        <v>5.9</v>
      </c>
      <c r="M36" s="16" t="s">
        <v>42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2404919631</v>
      </c>
      <c r="C37" s="25" t="s">
        <v>747</v>
      </c>
      <c r="D37" s="23" t="s">
        <v>111</v>
      </c>
      <c r="E37" s="15" t="s">
        <v>495</v>
      </c>
      <c r="F37" s="15">
        <v>5</v>
      </c>
      <c r="G37" s="15">
        <v>5</v>
      </c>
      <c r="H37" s="15"/>
      <c r="I37" s="17"/>
      <c r="J37" s="17">
        <v>5</v>
      </c>
      <c r="K37" s="17">
        <v>6</v>
      </c>
      <c r="L37" s="19">
        <f t="shared" si="0"/>
        <v>5.4</v>
      </c>
      <c r="M37" s="17" t="s">
        <v>33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2404919719</v>
      </c>
      <c r="C38" s="24" t="s">
        <v>748</v>
      </c>
      <c r="D38" s="22" t="s">
        <v>117</v>
      </c>
      <c r="E38" s="13" t="s">
        <v>598</v>
      </c>
      <c r="F38" s="13">
        <v>9</v>
      </c>
      <c r="G38" s="13">
        <v>5</v>
      </c>
      <c r="H38" s="13"/>
      <c r="I38" s="16"/>
      <c r="J38" s="16">
        <v>5.5</v>
      </c>
      <c r="K38" s="16">
        <v>6</v>
      </c>
      <c r="L38" s="18">
        <f t="shared" si="0"/>
        <v>6.1</v>
      </c>
      <c r="M38" s="16" t="s">
        <v>22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2404919907</v>
      </c>
      <c r="C39" s="24" t="s">
        <v>729</v>
      </c>
      <c r="D39" s="22" t="s">
        <v>230</v>
      </c>
      <c r="E39" s="13" t="s">
        <v>749</v>
      </c>
      <c r="F39" s="13">
        <v>9</v>
      </c>
      <c r="G39" s="13">
        <v>8</v>
      </c>
      <c r="H39" s="13"/>
      <c r="I39" s="16"/>
      <c r="J39" s="16">
        <v>6.5</v>
      </c>
      <c r="K39" s="16">
        <v>6</v>
      </c>
      <c r="L39" s="18">
        <f t="shared" si="0"/>
        <v>6.9</v>
      </c>
      <c r="M39" s="16" t="s">
        <v>22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2404920576</v>
      </c>
      <c r="C40" s="24" t="s">
        <v>582</v>
      </c>
      <c r="D40" s="22" t="s">
        <v>122</v>
      </c>
      <c r="E40" s="13" t="s">
        <v>750</v>
      </c>
      <c r="F40" s="13">
        <v>7</v>
      </c>
      <c r="G40" s="13">
        <v>5</v>
      </c>
      <c r="H40" s="13"/>
      <c r="I40" s="16"/>
      <c r="J40" s="16">
        <v>5</v>
      </c>
      <c r="K40" s="16">
        <v>6</v>
      </c>
      <c r="L40" s="18">
        <f t="shared" si="0"/>
        <v>5.7</v>
      </c>
      <c r="M40" s="16" t="s">
        <v>42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2404920783</v>
      </c>
      <c r="C41" s="24" t="s">
        <v>751</v>
      </c>
      <c r="D41" s="22" t="s">
        <v>752</v>
      </c>
      <c r="E41" s="13" t="s">
        <v>29</v>
      </c>
      <c r="F41" s="13">
        <v>5</v>
      </c>
      <c r="G41" s="13">
        <v>8.5</v>
      </c>
      <c r="H41" s="13"/>
      <c r="I41" s="16"/>
      <c r="J41" s="16">
        <v>9.5</v>
      </c>
      <c r="K41" s="16">
        <v>6.5</v>
      </c>
      <c r="L41" s="18">
        <f t="shared" si="0"/>
        <v>7.4</v>
      </c>
      <c r="M41" s="16" t="s">
        <v>274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2404921068</v>
      </c>
      <c r="C42" s="25" t="s">
        <v>545</v>
      </c>
      <c r="D42" s="23" t="s">
        <v>753</v>
      </c>
      <c r="E42" s="15" t="s">
        <v>754</v>
      </c>
      <c r="F42" s="15">
        <v>5</v>
      </c>
      <c r="G42" s="15">
        <v>6.5</v>
      </c>
      <c r="H42" s="15"/>
      <c r="I42" s="17"/>
      <c r="J42" s="17">
        <v>5</v>
      </c>
      <c r="K42" s="17">
        <v>6</v>
      </c>
      <c r="L42" s="19">
        <f t="shared" si="0"/>
        <v>5.6</v>
      </c>
      <c r="M42" s="17" t="s">
        <v>33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2404921223</v>
      </c>
      <c r="C43" s="24" t="s">
        <v>755</v>
      </c>
      <c r="D43" s="22" t="s">
        <v>756</v>
      </c>
      <c r="E43" s="13" t="s">
        <v>176</v>
      </c>
      <c r="F43" s="13">
        <v>5</v>
      </c>
      <c r="G43" s="13">
        <v>6.5</v>
      </c>
      <c r="H43" s="13"/>
      <c r="I43" s="16"/>
      <c r="J43" s="16">
        <v>5</v>
      </c>
      <c r="K43" s="16">
        <v>6</v>
      </c>
      <c r="L43" s="18">
        <f t="shared" si="0"/>
        <v>5.6</v>
      </c>
      <c r="M43" s="16" t="s">
        <v>274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2404921320</v>
      </c>
      <c r="C44" s="24" t="s">
        <v>757</v>
      </c>
      <c r="D44" s="22" t="s">
        <v>241</v>
      </c>
      <c r="E44" s="13" t="s">
        <v>250</v>
      </c>
      <c r="F44" s="13">
        <v>7</v>
      </c>
      <c r="G44" s="13">
        <v>9</v>
      </c>
      <c r="H44" s="13"/>
      <c r="I44" s="16"/>
      <c r="J44" s="16">
        <v>8</v>
      </c>
      <c r="K44" s="16">
        <v>6.5</v>
      </c>
      <c r="L44" s="18">
        <f t="shared" si="0"/>
        <v>7.4</v>
      </c>
      <c r="M44" s="16" t="s">
        <v>42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1901784844</v>
      </c>
      <c r="C45" s="24" t="s">
        <v>758</v>
      </c>
      <c r="D45" s="22" t="s">
        <v>435</v>
      </c>
      <c r="E45" s="13" t="s">
        <v>36</v>
      </c>
      <c r="F45" s="13">
        <v>5</v>
      </c>
      <c r="G45" s="13">
        <v>8.5</v>
      </c>
      <c r="H45" s="13"/>
      <c r="I45" s="16"/>
      <c r="J45" s="16">
        <v>5</v>
      </c>
      <c r="K45" s="16">
        <v>6</v>
      </c>
      <c r="L45" s="18">
        <f t="shared" si="0"/>
        <v>5.9</v>
      </c>
      <c r="M45" s="16" t="s">
        <v>460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2404919948</v>
      </c>
      <c r="C46" s="24" t="s">
        <v>505</v>
      </c>
      <c r="D46" s="22" t="s">
        <v>128</v>
      </c>
      <c r="E46" s="13" t="s">
        <v>759</v>
      </c>
      <c r="F46" s="13">
        <v>6</v>
      </c>
      <c r="G46" s="13">
        <v>8.5</v>
      </c>
      <c r="H46" s="13"/>
      <c r="I46" s="16"/>
      <c r="J46" s="16">
        <v>5</v>
      </c>
      <c r="K46" s="16">
        <v>6</v>
      </c>
      <c r="L46" s="18">
        <f t="shared" si="0"/>
        <v>6.1</v>
      </c>
      <c r="M46" s="16" t="s">
        <v>33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2500342007</v>
      </c>
      <c r="C47" s="25" t="s">
        <v>202</v>
      </c>
      <c r="D47" s="23" t="s">
        <v>128</v>
      </c>
      <c r="E47" s="15" t="s">
        <v>295</v>
      </c>
      <c r="F47" s="15">
        <v>6</v>
      </c>
      <c r="G47" s="15">
        <v>9.5</v>
      </c>
      <c r="H47" s="15"/>
      <c r="I47" s="17"/>
      <c r="J47" s="17">
        <v>5</v>
      </c>
      <c r="K47" s="17">
        <v>6</v>
      </c>
      <c r="L47" s="19">
        <f t="shared" si="0"/>
        <v>6.2</v>
      </c>
      <c r="M47" s="17" t="s">
        <v>33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2404921466</v>
      </c>
      <c r="C48" s="24" t="s">
        <v>760</v>
      </c>
      <c r="D48" s="22" t="s">
        <v>761</v>
      </c>
      <c r="E48" s="13" t="s">
        <v>366</v>
      </c>
      <c r="F48" s="13">
        <v>7</v>
      </c>
      <c r="G48" s="13">
        <v>8.5</v>
      </c>
      <c r="H48" s="13"/>
      <c r="I48" s="16"/>
      <c r="J48" s="16">
        <v>9</v>
      </c>
      <c r="K48" s="16">
        <v>6.5</v>
      </c>
      <c r="L48" s="18">
        <f t="shared" si="0"/>
        <v>7.6</v>
      </c>
      <c r="M48" s="16" t="s">
        <v>42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0">
        <v>42</v>
      </c>
      <c r="B49" s="13">
        <v>2404921566</v>
      </c>
      <c r="C49" s="24" t="s">
        <v>762</v>
      </c>
      <c r="D49" s="22" t="s">
        <v>258</v>
      </c>
      <c r="E49" s="13" t="s">
        <v>160</v>
      </c>
      <c r="F49" s="13">
        <v>5</v>
      </c>
      <c r="G49" s="13">
        <v>5</v>
      </c>
      <c r="H49" s="13"/>
      <c r="I49" s="16"/>
      <c r="J49" s="16">
        <v>5</v>
      </c>
      <c r="K49" s="16">
        <v>6</v>
      </c>
      <c r="L49" s="18">
        <f t="shared" si="0"/>
        <v>5.4</v>
      </c>
      <c r="M49" s="16" t="s">
        <v>33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21">
        <v>43</v>
      </c>
      <c r="B50" s="15">
        <v>2404921935</v>
      </c>
      <c r="C50" s="25" t="s">
        <v>763</v>
      </c>
      <c r="D50" s="23" t="s">
        <v>612</v>
      </c>
      <c r="E50" s="15" t="s">
        <v>134</v>
      </c>
      <c r="F50" s="15">
        <v>9</v>
      </c>
      <c r="G50" s="15">
        <v>8</v>
      </c>
      <c r="H50" s="15"/>
      <c r="I50" s="17"/>
      <c r="J50" s="17">
        <v>9.5</v>
      </c>
      <c r="K50" s="17">
        <v>8</v>
      </c>
      <c r="L50" s="19">
        <f t="shared" si="0"/>
        <v>8.6</v>
      </c>
      <c r="M50" s="17" t="s">
        <v>22</v>
      </c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39" t="s">
        <v>141</v>
      </c>
      <c r="B51" s="40"/>
      <c r="C51" s="41"/>
      <c r="D51" s="41"/>
      <c r="E51" s="41"/>
      <c r="F51" s="40"/>
      <c r="G51" s="40"/>
      <c r="H51" s="40"/>
      <c r="I51" s="40"/>
      <c r="J51" s="42"/>
      <c r="K51" s="8"/>
      <c r="L51" s="9"/>
      <c r="M51" s="10"/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2.75" customHeight="1" x14ac:dyDescent="0.35">
      <c r="A52" s="43"/>
      <c r="B52" s="33"/>
      <c r="C52" s="44"/>
      <c r="D52" s="45"/>
      <c r="E52" s="45"/>
      <c r="F52" s="46"/>
      <c r="G52" s="46"/>
      <c r="H52" s="46"/>
      <c r="I52" s="46"/>
      <c r="J52" s="47"/>
    </row>
    <row r="53" spans="1:37" ht="12.75" customHeight="1" x14ac:dyDescent="0.35">
      <c r="A53" s="48" t="s">
        <v>142</v>
      </c>
      <c r="B53" s="33"/>
      <c r="C53" s="44"/>
      <c r="D53" s="45" t="s">
        <v>143</v>
      </c>
      <c r="E53" s="45"/>
      <c r="F53" s="46" t="str">
        <f>TEXT(COUNTIF(L8:L50,"&gt;="&amp;Q53),"#0")</f>
        <v>4</v>
      </c>
      <c r="G53" s="46"/>
      <c r="H53" s="31" t="s">
        <v>144</v>
      </c>
      <c r="I53" s="46" t="str">
        <f>ROUND(F53/IF(COUNTIF(L8:L50,"&gt;=0")=0,1,COUNTIF(L8:L50,"&gt;=0")),4)*100&amp;"%"</f>
        <v>9.3%</v>
      </c>
      <c r="J53" s="47"/>
      <c r="Q53" s="26">
        <v>7.95</v>
      </c>
    </row>
    <row r="54" spans="1:37" ht="12.75" customHeight="1" x14ac:dyDescent="0.35">
      <c r="A54" s="43" t="s">
        <v>145</v>
      </c>
      <c r="B54" s="33"/>
      <c r="C54" s="44"/>
      <c r="D54" s="45" t="s">
        <v>146</v>
      </c>
      <c r="E54" s="45"/>
      <c r="F54" s="46" t="str">
        <f>TEXT(COUNTIF(L8:L50,"&gt;="&amp;Q54)-F53,"#0")</f>
        <v>14</v>
      </c>
      <c r="G54" s="46"/>
      <c r="H54" s="31" t="s">
        <v>144</v>
      </c>
      <c r="I54" s="46" t="str">
        <f>ROUND(F54/IF(COUNTIF(L8:L50,"&gt;=0")=0,1,COUNTIF(L8:L50,"&gt;=0")),4)*100&amp;"%"</f>
        <v>32.56%</v>
      </c>
      <c r="J54" s="47"/>
      <c r="Q54" s="26">
        <v>6.45</v>
      </c>
    </row>
    <row r="55" spans="1:37" ht="12.75" customHeight="1" x14ac:dyDescent="0.35">
      <c r="A55" s="27"/>
      <c r="D55" s="45" t="s">
        <v>147</v>
      </c>
      <c r="E55" s="45"/>
      <c r="F55" s="46" t="str">
        <f>TEXT(COUNTIF(L8:L50,"&gt;="&amp;Q55)-F54-F53,"#0")</f>
        <v>25</v>
      </c>
      <c r="G55" s="46"/>
      <c r="H55" s="31" t="s">
        <v>144</v>
      </c>
      <c r="I55" s="46" t="str">
        <f>ROUND(F55/IF(COUNTIF(L8:L50,"&gt;=0")=0,1,COUNTIF(L8:L50,"&gt;=0")),4)*100&amp;"%"</f>
        <v>58.14%</v>
      </c>
      <c r="J55" s="47"/>
      <c r="Q55" s="26">
        <v>4.95</v>
      </c>
    </row>
    <row r="56" spans="1:37" ht="12.75" customHeight="1" x14ac:dyDescent="0.35">
      <c r="A56" s="28"/>
      <c r="B56" s="29"/>
      <c r="C56" s="30"/>
      <c r="D56" s="49" t="s">
        <v>148</v>
      </c>
      <c r="E56" s="49"/>
      <c r="F56" s="50" t="str">
        <f>TEXT(COUNTIF(L8:L50,"&gt;=0")-F52-F53-F54-F55,"#0")</f>
        <v>0</v>
      </c>
      <c r="G56" s="50"/>
      <c r="H56" s="32" t="s">
        <v>144</v>
      </c>
      <c r="I56" s="50" t="str">
        <f>ROUND(F56/IF(COUNTIF(L8:L50,"&gt;=0")=0,1,COUNTIF(L8:L50,"&gt;=0")),4)*100&amp;"%"</f>
        <v>0%</v>
      </c>
      <c r="J56" s="51"/>
    </row>
    <row r="65536" ht="14.5" x14ac:dyDescent="0.35"/>
  </sheetData>
  <mergeCells count="32">
    <mergeCell ref="D55:E55"/>
    <mergeCell ref="F55:G55"/>
    <mergeCell ref="I55:J55"/>
    <mergeCell ref="D56:E56"/>
    <mergeCell ref="F56:G56"/>
    <mergeCell ref="I56:J56"/>
    <mergeCell ref="A51:J52"/>
    <mergeCell ref="A53:C53"/>
    <mergeCell ref="D53:E53"/>
    <mergeCell ref="F53:G53"/>
    <mergeCell ref="I53:J53"/>
    <mergeCell ref="A54:C54"/>
    <mergeCell ref="D54:E54"/>
    <mergeCell ref="F54:G54"/>
    <mergeCell ref="I54:J54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60">
    <dataValidation type="list" allowBlank="1" showInputMessage="1" showErrorMessage="1" errorTitle="Thông báo" error="Bạn phải nhập [Đạt] = d, Đ, đ, 1   [Chưa đạt] = c, CĐ, cđ, 2" sqref="C5" xr:uid="{194B59F0-2444-4EEE-8DEE-7E7270CAF6F4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17A105CE-049D-4019-8115-CB9040731E14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6C227266-0481-4AF8-A5D6-92E443E1B8CC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296C9615-8F92-45B6-A8BB-349BEB3DC81D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6DBB4ED5-D80E-4529-AC1D-2E0E2F7D53AA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4E6FAC90-A861-40A9-83A7-C161DA03A940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34CCC767-7441-4AE3-947A-A6FF720A440E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71C3FEE2-5386-4AD7-87A7-D4C21D2B14D5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F446A65A-8EDE-4D82-A170-87C414BC6410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D1A72A4A-DDE2-46D6-8358-8905046BE7EA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2FCAA36F-1767-4117-99DE-A3E0173EF4A8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6D4CEE99-DC04-4149-A629-55CA02C5061C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4AD07DE6-FC1E-4367-A3FB-F605F16179EE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59B3B96B-0586-4EE9-9E71-126E0A7ED2AA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A7F8D956-44D1-44AC-857B-BA979E1D0324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8A55366D-0F41-431E-A5CC-1B7BED41CB17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A1B5B5F1-6F56-412C-8661-7F96573D06B0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75A142BB-FDED-4D3A-8DEF-A5881FCBDE78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65B2FEA2-14FF-4665-9D26-BF8592B318AF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0D2F8C2E-C2A1-412B-BB15-95CF7AFA2463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54C0F9C1-88A4-44D5-AF33-40BF745C30F6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1F8CA09F-E51E-4A19-A9E5-FEC6322FCD7B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BD502527-A73F-44D1-BAA3-0ED37E651F1E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0DC1E45A-542F-4FA2-93B1-F37182DEB548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CF356E99-F5A5-4A01-BC6E-D85659BD48C1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CF44CC42-910E-477C-896E-9EA21EE0F33B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0A783AE3-6E9E-4A0A-B15F-8F9250B6E6A7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5E9E92D7-F514-44E0-A2F6-CCCFBBE76913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4E157887-4B42-409A-A44F-631F45384CC3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BD1CC78E-1F64-47F8-A9D1-9EDB8F44B929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01658ED3-746E-4D1C-9494-FE8D1DED3BA4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15F8C85A-C526-4BD3-A050-71BDBF038E30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CF9605C5-5AF3-40B9-9840-957FC3BA4CE5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2E4427EF-0EEA-4C25-876B-17FEEAA93732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A6A5A174-2E24-4773-957F-9DE2BB92DAF3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6A8D6881-D6F3-4F21-8536-3C762727A3D8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D08805D6-DC68-421D-B90F-4D5E5823CC3C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CD782FDE-E6AA-43D7-AE64-266238245AA0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9440E962-8D7C-4C12-A648-1ADA1C548C7B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48341A7F-969B-4802-8723-197A3F940243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A5B32EE7-EAA0-4FC9-983D-D93448040DC1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BD67321B-7249-4EA6-9982-FBCD7F2CF987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8ACFF9E4-D405-4508-BE76-2868BF9D9BF7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1316EDB1-E57A-4B3F-9000-582894AED53E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B6455A96-BA99-4515-88BA-666664EDA6E8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653593BD-5456-451F-AD7D-90FA7BF9AD29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F18E846D-DB28-45C4-B927-79EB46A2520B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444E3B8A-330E-4C12-87A0-378C9CDD7680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E368312B-2A6D-4892-BBBE-01830817FD0E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BEED9964-EB33-45D6-8ABA-01032982C40F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63645708-1298-4530-8ABB-8E0C9FA7D3DB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72EC2A52-F32C-4BE8-B8D2-C62317C230EE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4AE1F803-3189-4B04-AC7B-03206C20F416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14C253E0-B236-4FC2-B439-E42998D8BEC9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C0108B06-0F9E-4D82-810D-ABF5C50B9A65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208150AF-234C-4017-850A-A8FB87B98AFD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FA7DBF8A-1398-4CE5-A982-30C6DAE24B55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98450538-03F6-4C00-8DF1-CB008A288167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6D0AF312-EE5A-4123-8913-2AA30B50C41A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F9F4F2D3-303C-44C9-8326-E979BED8456D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4E193FB2-850C-4AE6-8AE7-1817BD98DB02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9A15C13E-A68D-48E9-A8C6-74BD730DE979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8F213FD0-10B2-40F8-9CF2-3174C5B3D4D1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ACC61359-E8E9-45E4-AD2B-3869B3855669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AC7732BA-43B8-4F2F-A395-0DF453BBEA76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ABE6B1C6-EE42-49FF-8149-3F062EDD01DA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EEB31911-44C9-4041-BBB7-F5D93A5860CD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7BB74D84-81AD-48F3-AED0-6AD78B4C384D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39074521-A11C-43AE-94FF-C1FE25AF6819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542A4135-3240-40E0-96F8-7D07EA701F96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D743E287-8A01-4C28-8597-0763363E58A8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29625B01-527A-41C0-911C-A960CAF35405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3CC3EFA5-2031-4D1B-BB25-77DA0EB8B8E1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38763BB5-E710-48EC-B686-72012BCB8DB1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3072CD8C-F79E-4AF0-8AB6-F52BAF85E536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E61CC533-8737-4300-8BFF-773E013D844B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7C462F76-02AA-42FF-BAD0-BC2E6924E6BD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A18F7D9A-B3D9-415B-93D1-676A88577B0E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CB99D7F6-B491-4B74-8918-523BB0E0ABDB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466DFDB9-1009-4A53-93B6-B56A90392230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A4CECD2A-EEB2-4CBD-A86B-7FDB92E510C2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3F2DE2C0-495E-42FD-B3AA-482899AC5E87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3185C0D1-43CA-4E19-9D37-BDC9227D96E8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3A50E2A5-44C8-4CD4-86C0-C8BFBC86C4CE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F486FF85-892A-4A12-8F96-5EB0571ACF36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BD54C1AE-6B7E-402D-A129-814DADBCC69F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9D165C42-CA0E-4CCC-83BA-8075406A58B6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75EF29E9-9700-421E-9F91-29A7E70D0164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7A516581-C5A1-4F65-BE38-ED6B126FD6DE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3FDBB338-A10F-4F99-9182-DE1C0E3B63D9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C4B8BD02-8607-4E13-A0AA-3A4D5DAC73D2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09D7B0B9-4321-4072-B1F1-E36F845166A8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5E74E4B9-5A5E-4160-9DB8-6345AF994898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C956AEF9-4F6F-47EF-82BF-36B3041750CE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66EEF41A-449A-4F71-A426-86A8908E88D1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501FBFB4-FC35-43CD-9A21-9C237F496BE9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93E70F96-E3BB-4BC5-BCD9-0A5014C4F6BE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34D8583D-8232-4F12-A11B-0FA780EFF389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B278E5AA-5514-4D81-AE3E-5DA4248FD381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CD108FC6-EB2E-47D9-AC3A-C27F65E417AC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0F108434-51A7-488F-9C3E-B17610E0B43F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AD30306D-8C9C-4BFB-A4D9-BC1D0977A920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4ED2DCA7-E241-4654-8CAA-3ECCCD069ABF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857FAB44-6749-420D-BF12-D7EE0B0A795B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0B3704DC-6B08-49A5-8F31-F18B928BC73D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9225EDF2-BD52-4398-AEA5-88B17AE7947A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074D26B1-39E0-41F5-94C9-AA45137590DA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00431879-58C5-4BB6-83F4-08E874CC0BF0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EFDF42C8-02E7-40E6-9882-407F3353B9DE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18590968-D3BE-4A69-8FA2-C43741B81A1B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F579FA95-1166-41B9-A01C-47510207E2F4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3DA3DFE8-C265-46B5-BC2E-CEC330EF3543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94A632AB-1823-403C-8AEC-565682FEF0B7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043ABE63-2370-4F44-ABDA-C28CA71E73D0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EF739312-555B-420D-B104-F8CE11F337A0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FB54E201-EFF7-47AB-8657-D2FAD51E0F29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E802E0D5-660E-4E1F-BAE7-03FEE285781E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4C6EFEE9-5E75-4862-9175-F9BA15030925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7A409EE4-8F2A-409D-9D74-3E3E0153F01B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44F614DD-9D2E-40BE-8DD3-327EECE17D36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C8EF237E-8AC5-4B9B-A526-6AE37B0C0FCA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77ACF51B-DA23-454D-8167-5004BBEBCD2B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9CDD0443-C974-4EFB-A41B-87739AF7DF7D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808EC67A-1F7C-457E-A280-11790C1CA31F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257249AA-87A7-497B-8287-34D9E008DF41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B89523D1-89C0-492D-AD69-8EF18C98AD6C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6F39C262-9AF8-474C-BE56-33B8B08A08F9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F722D522-00C0-49FA-83AC-12966D3A1295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E1B92BC9-A328-4E41-A56D-3F98B1E7823E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839D7BBF-4A67-4B0E-9248-9264413909BE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7CABCA16-6EDF-4DFE-BA9B-8F3DDECA2181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FDA70616-F7CB-4A3F-A29A-A73124906D81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38A70237-1775-4689-94CA-779BE93FF627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5212D797-340C-41D5-9C61-87DB7AECBC10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3D19A555-6752-4BF5-835F-825EDC9A5249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3A6D2CCA-7ED7-4C88-AD34-177435F39CFF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B4992798-CDC9-4949-89DD-AE94975C20BC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AF5352E7-F567-4DFE-A70B-DF5749454810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6869A3E6-98F5-4F53-BF56-825C2E37A50C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400EEBF4-E946-4849-B0F5-5D9A776D060C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0977FFBB-7DFD-4DC0-8C87-C06F0E9E753C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82884A96-5439-4EEC-A0E2-10F684ABDE72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EA96B47E-1DF6-44AA-8F85-A855C653B6AE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DDD847D2-1872-4448-BE5C-33F560447B9C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CF7631A6-5CAE-4471-9BB8-D4B1B840FC11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A55473DA-D409-4CFA-A404-A3EE407C7F42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0C80AB46-4F6F-40F7-B60B-95B7117F0AA1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1ED3FC9C-CDC6-4A91-9E08-538E526E1B97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01E60DA9-2D01-49A2-9156-520A9933F3C5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6A63A68F-FE28-48B9-97FE-CD921343077F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9EAD1B68-C00B-4267-AA6D-3708D050FFA4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02CFDFFD-EA5C-42F7-BC6C-7AE2CFB3059D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1CB67DE8-C0A2-45CB-9220-1231F10C953C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2CC18FA9-5C2B-459B-84E4-D72D0F3715B7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31226974-3AF6-49B4-8CC0-36068EB9A0C3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492CADF6-F6A2-4C96-A2FE-E44DA5CF9693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109A6793-681C-46C9-94A0-639B3B5E919D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DAB9C839-1B34-4A45-BFE7-D8B295C7BBD2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8C4A2C07-8689-40D5-B6B3-208CB8E99B01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6310AE3C-D916-4CB1-BA6C-1EA0219D6F6C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667845AF-83DC-4D5A-9952-AA3414111B4E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E253165D-D2DA-4887-8E3A-5E43F7995BFC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14E68B81-F7AC-4649-82B6-63911BD9C244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57F4E6EF-2101-42C8-97A8-5EE2BA4DAF34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F30ABCD1-185C-4133-BE27-8C4189F6F8F9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0B79D2E6-952C-45C5-ADDA-AF379D8F3212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7D68A36E-9331-43F2-B530-771D618A43AF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864F3648-199D-40C7-AF01-C5653DDD6DC6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0FBF776F-F820-49B2-AE85-C05EC254F625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4E69BA79-A512-45BD-BEC2-670603C984DC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EE107AB3-AD3D-47DF-B1F0-2C7E4F0F6A7C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0D79BD01-1A6A-4990-806D-3110AE384362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C931C518-A199-498A-A6D9-D16519B4A035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BD2A241B-400A-4825-86BB-5F38B8678FF3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DB5DD796-4493-4E87-919F-9577C8245615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037EAB8C-E658-402B-A221-B025022907A9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36EDE9F3-0E53-467D-8567-28E1478744C7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14722F20-6A86-42DB-83E8-797B7D5542CB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ED8752A8-C45E-4E8F-A0B4-169E8595F5DE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CDF8F021-F0F4-494A-BFC2-EBC7EB044E90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9BC1A496-2B7D-4131-93D8-D4DB5A516438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4AEE8C6B-3801-4E1E-AB74-BB80A87CB9CB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3E8597B6-CC1F-46D2-9558-EE99E098E2B8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C54811ED-BD1E-48A6-8B86-393DCF84F284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FF3974B2-25D6-4537-BEB6-11DBFBC09BFA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BA55A600-AC12-4EAB-AA3A-5C83055DCF72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32EDB9B5-9C91-4401-B5DC-E0502D6CC1D4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4D6254A3-743B-45E6-898E-12171ED33A17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683C8D14-5601-406D-878D-0DFFA5B0B04C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2345D786-BB31-453E-A996-55E8937CE020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CFE0C582-11C5-4FD0-94CF-A4E2C0F23422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BD4F54AA-468A-4880-AAD0-72EA72F95376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12385078-E41F-4A96-B3F6-604BFF3FBE3A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5C07CA30-9949-420F-BA60-E1F07D74BC08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06C4E307-77CA-4CDD-9D9C-650534DA67DE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CACF9D66-65BD-4574-8E05-7F17B1F09394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DFAF4B4E-FECD-406C-AC8E-1A10D734D21C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D59BF261-6850-462E-946A-DDACD4BAB69A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5AE8E2A1-705E-4880-A804-DE2BFDE38863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A2CCA0C3-6E41-43DE-BDF1-CB67A5E83588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EFBC958B-6150-44D6-8540-5825A4E5E017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3642E9D2-4FD9-436D-9016-A940D27FDE14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C22AC51C-6912-4CDB-82BF-90167E5F3C23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755D2472-C6D8-4D75-9066-60D30CE4B9FC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0AB98760-3638-42BC-AB80-7AD2D9698661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21A60C83-127C-45C8-A0B3-30E148623F51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C5B23C99-820B-4EAF-AAC1-F037FCB9F4EF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D55D69A5-4736-4F5C-A7F4-0C82C5006EDC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51E71FB6-F2D8-41C4-9023-3542DB60234F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06CA7380-22CD-4FE4-B888-58780C4BAE5A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23C23797-2787-495D-BF64-A2D3B42C5A51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D0263FA5-C038-4F1A-A8B0-84AEB8254199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431D20CA-B8D8-4146-B11C-D44C5E1CDDA7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E54B32B7-9F42-4E3A-BD0F-EC0335B6DACF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D35F89E4-559D-4A99-BB87-E3E1E64D1C2B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4D1EEE14-CEA0-4B4E-93B2-CEDFE7F39512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BC9D1A42-05B1-4351-AC81-ABDF5C0181CE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76705120-513C-458A-A386-0C1F05C35628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D1331AB1-7162-44B2-8BB4-1A39E82BF8E5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1B0C856A-DF08-46A5-92A0-70747C326AF4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5E0A16E0-E546-4047-9F7F-6B4BBF65FC41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47EC2F0F-E15C-46EB-9C5B-32AF8283829F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683A6A3A-7054-4499-93C8-48C48E3718B4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30104D7C-242F-4C2D-AA30-C0D196F2FDDC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A7832256-68E5-4154-84DF-7AF919D41D16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DEBACDB0-9CEB-44B5-909B-1EE93C2CCFF0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4E02FCFD-52BB-4703-B866-82D539B74C8D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72572677-835B-4F5D-81FB-F97BD72DE3E6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ECB2FF76-D37C-4AA6-B69E-F540ED556C87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B2B60971-0F6C-4F0E-88DB-B3131055852C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256C422C-137D-4C38-B60A-BFB88F6E9D5F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9F8395AB-8DC4-42BB-815B-6FCA563407A5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B132E177-14AA-4892-9543-5ABBCA73997A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5B83E89E-DC8F-4051-8ED9-BC1A800EA68D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0306940B-C56F-4488-A990-227C70ACF107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3AB2BF84-9E2A-4B4A-A46F-6C6E99FAB906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50CB63DB-9B7A-40F7-AF7C-EDF7D745F25A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110CA2A7-123F-4FB3-88C8-8D4E0BCB6598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786C0408-8158-4B25-A8D1-06F06D72AFE1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049F0F38-ADC5-463F-8F06-513E5219D24D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D558B271-FEB4-499A-86FD-1A0F9F50CEE9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5EF1EB34-F216-488C-B652-94719E5CE93E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3394421E-22AC-4013-8EDE-22B458F0FFA3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495FC34F-972F-4419-B15E-025C0E425DFB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D0EB722A-64CB-4E47-B7E2-350241BCB583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665A53C1-E1E7-40C5-A7A6-2B4C1A598402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54A9DC53-EA59-41B1-BD84-17809B6C163D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AADBDED8-7474-458F-9AED-81F5DFD57B0F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81CCE6DD-2D6E-4DE8-9ED3-962F8FF1174E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4385F02F-4237-4F93-B5AE-7EED985EF541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CA74A71A-1DB9-47AD-8CB7-332881DAA9F7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30C880F0-7FAF-4419-9863-BF1334E77349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9879EF29-0FE0-46CE-89D1-87C6D3F59AF9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441C3F5E-6F3C-44BA-B340-32DCFB4EB531}">
      <formula1>0</formula1>
      <formula2>10</formula2>
    </dataValidation>
    <dataValidation type="decimal" allowBlank="1" showInputMessage="1" showErrorMessage="1" errorTitle="Thông báo" error="Giá trị con điểm phải là số &gt;=0 và &lt;=10 " sqref="F50" xr:uid="{5096B8AA-1A2E-447A-9A6C-A848F3E5E3CF}">
      <formula1>0</formula1>
      <formula2>10</formula2>
    </dataValidation>
    <dataValidation type="decimal" allowBlank="1" showInputMessage="1" showErrorMessage="1" errorTitle="Thông báo" error="Giá trị con điểm phải là số &gt;=0 và &lt;=10 " sqref="G50" xr:uid="{4C651A0F-BEB7-4067-8C33-E8C063A6E146}">
      <formula1>0</formula1>
      <formula2>10</formula2>
    </dataValidation>
    <dataValidation type="decimal" allowBlank="1" showInputMessage="1" showErrorMessage="1" errorTitle="Thông báo" error="Giá trị con điểm phải là số &gt;=0 và &lt;=10 " sqref="H50" xr:uid="{81209A94-F8A6-41AD-9C96-A97D5B097F10}">
      <formula1>0</formula1>
      <formula2>10</formula2>
    </dataValidation>
    <dataValidation type="decimal" allowBlank="1" showInputMessage="1" showErrorMessage="1" errorTitle="Thông báo" error="Giá trị con điểm phải là số &gt;=0 và &lt;=10 " sqref="I50" xr:uid="{049DC25D-F24A-45EC-A8C6-7FCB7356FE67}">
      <formula1>0</formula1>
      <formula2>10</formula2>
    </dataValidation>
    <dataValidation type="decimal" allowBlank="1" showInputMessage="1" showErrorMessage="1" errorTitle="Thông báo" error="Giá trị con điểm phải là số &gt;=0 và &lt;=10 " sqref="J50" xr:uid="{1491F43B-AEEC-4D0C-9CF6-248F240E90DC}">
      <formula1>0</formula1>
      <formula2>10</formula2>
    </dataValidation>
    <dataValidation type="decimal" allowBlank="1" showInputMessage="1" showErrorMessage="1" errorTitle="Thông báo" error="Giá trị con điểm phải là số &gt;=0 và &lt;=10 " sqref="K50" xr:uid="{401407EE-6007-46E4-B438-2BA695C78EF7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F1AB-A2BA-466E-A510-2ADE210093DA}">
  <dimension ref="A1:AK65536"/>
  <sheetViews>
    <sheetView showRuler="0" zoomScaleNormal="100" workbookViewId="0">
      <selection activeCell="D55" sqref="D55:J59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764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2305039971</v>
      </c>
      <c r="C8" s="24" t="s">
        <v>765</v>
      </c>
      <c r="D8" s="22" t="s">
        <v>24</v>
      </c>
      <c r="E8" s="13" t="s">
        <v>766</v>
      </c>
      <c r="F8" s="13">
        <v>10</v>
      </c>
      <c r="G8" s="13">
        <v>10</v>
      </c>
      <c r="H8" s="13"/>
      <c r="I8" s="16"/>
      <c r="J8" s="16">
        <v>10</v>
      </c>
      <c r="K8" s="16">
        <v>9.5</v>
      </c>
      <c r="L8" s="18">
        <f t="shared" ref="L8:L53" si="0">IF((COUNT(F8:I8)+COUNT(J8:J8)*2+COUNT(K8:K8)*3),ROUND((SUM(F8:I8)+SUM(J8:J8)*2+SUM(K8:K8)*3)/(COUNT(F8:I8)+COUNT(J8:J8)*2+COUNT(K8:K8)*3),1),"")</f>
        <v>9.8000000000000007</v>
      </c>
      <c r="M8" s="16" t="s">
        <v>22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2305039972</v>
      </c>
      <c r="C9" s="24" t="s">
        <v>767</v>
      </c>
      <c r="D9" s="22" t="s">
        <v>24</v>
      </c>
      <c r="E9" s="13" t="s">
        <v>768</v>
      </c>
      <c r="F9" s="13">
        <v>10</v>
      </c>
      <c r="G9" s="13">
        <v>10</v>
      </c>
      <c r="H9" s="13"/>
      <c r="I9" s="16"/>
      <c r="J9" s="16">
        <v>10</v>
      </c>
      <c r="K9" s="16">
        <v>10</v>
      </c>
      <c r="L9" s="18">
        <f t="shared" si="0"/>
        <v>10</v>
      </c>
      <c r="M9" s="16" t="s">
        <v>22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2305039973</v>
      </c>
      <c r="C10" s="24" t="s">
        <v>769</v>
      </c>
      <c r="D10" s="22" t="s">
        <v>770</v>
      </c>
      <c r="E10" s="13" t="s">
        <v>771</v>
      </c>
      <c r="F10" s="13">
        <v>9</v>
      </c>
      <c r="G10" s="13">
        <v>9.5</v>
      </c>
      <c r="H10" s="13"/>
      <c r="I10" s="16"/>
      <c r="J10" s="16">
        <v>10</v>
      </c>
      <c r="K10" s="16">
        <v>10</v>
      </c>
      <c r="L10" s="18">
        <f t="shared" si="0"/>
        <v>9.8000000000000007</v>
      </c>
      <c r="M10" s="16" t="s">
        <v>22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2305039974</v>
      </c>
      <c r="C11" s="24" t="s">
        <v>772</v>
      </c>
      <c r="D11" s="22" t="s">
        <v>773</v>
      </c>
      <c r="E11" s="13" t="s">
        <v>774</v>
      </c>
      <c r="F11" s="13">
        <v>10</v>
      </c>
      <c r="G11" s="13">
        <v>9.5</v>
      </c>
      <c r="H11" s="13"/>
      <c r="I11" s="16"/>
      <c r="J11" s="16">
        <v>10</v>
      </c>
      <c r="K11" s="16">
        <v>10</v>
      </c>
      <c r="L11" s="18">
        <f t="shared" si="0"/>
        <v>9.9</v>
      </c>
      <c r="M11" s="16" t="s">
        <v>22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2305039975</v>
      </c>
      <c r="C12" s="25" t="s">
        <v>775</v>
      </c>
      <c r="D12" s="23" t="s">
        <v>47</v>
      </c>
      <c r="E12" s="15" t="s">
        <v>776</v>
      </c>
      <c r="F12" s="15">
        <v>10</v>
      </c>
      <c r="G12" s="15">
        <v>10</v>
      </c>
      <c r="H12" s="15"/>
      <c r="I12" s="17"/>
      <c r="J12" s="17">
        <v>10</v>
      </c>
      <c r="K12" s="17">
        <v>9.5</v>
      </c>
      <c r="L12" s="19">
        <f t="shared" si="0"/>
        <v>9.8000000000000007</v>
      </c>
      <c r="M12" s="17" t="s">
        <v>22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2305039977</v>
      </c>
      <c r="C13" s="24" t="s">
        <v>777</v>
      </c>
      <c r="D13" s="22" t="s">
        <v>294</v>
      </c>
      <c r="E13" s="13" t="s">
        <v>778</v>
      </c>
      <c r="F13" s="13">
        <v>10</v>
      </c>
      <c r="G13" s="13">
        <v>9.5</v>
      </c>
      <c r="H13" s="13"/>
      <c r="I13" s="16"/>
      <c r="J13" s="16">
        <v>9.5</v>
      </c>
      <c r="K13" s="16">
        <v>7</v>
      </c>
      <c r="L13" s="18">
        <f t="shared" si="0"/>
        <v>8.5</v>
      </c>
      <c r="M13" s="16" t="s">
        <v>22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2305039978</v>
      </c>
      <c r="C14" s="24" t="s">
        <v>779</v>
      </c>
      <c r="D14" s="22" t="s">
        <v>59</v>
      </c>
      <c r="E14" s="13" t="s">
        <v>780</v>
      </c>
      <c r="F14" s="13">
        <v>5</v>
      </c>
      <c r="G14" s="13">
        <v>7.5</v>
      </c>
      <c r="H14" s="13"/>
      <c r="I14" s="16"/>
      <c r="J14" s="16">
        <v>9</v>
      </c>
      <c r="K14" s="16">
        <v>6</v>
      </c>
      <c r="L14" s="18">
        <f t="shared" si="0"/>
        <v>6.9</v>
      </c>
      <c r="M14" s="16" t="s">
        <v>33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2305039979</v>
      </c>
      <c r="C15" s="24" t="s">
        <v>781</v>
      </c>
      <c r="D15" s="22" t="s">
        <v>299</v>
      </c>
      <c r="E15" s="13" t="s">
        <v>782</v>
      </c>
      <c r="F15" s="13">
        <v>9</v>
      </c>
      <c r="G15" s="13">
        <v>9</v>
      </c>
      <c r="H15" s="13"/>
      <c r="I15" s="16"/>
      <c r="J15" s="16">
        <v>10</v>
      </c>
      <c r="K15" s="16">
        <v>10</v>
      </c>
      <c r="L15" s="18">
        <f t="shared" si="0"/>
        <v>9.6999999999999993</v>
      </c>
      <c r="M15" s="16" t="s">
        <v>22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2305039980</v>
      </c>
      <c r="C16" s="24" t="s">
        <v>783</v>
      </c>
      <c r="D16" s="22" t="s">
        <v>784</v>
      </c>
      <c r="E16" s="13" t="s">
        <v>785</v>
      </c>
      <c r="F16" s="13">
        <v>10</v>
      </c>
      <c r="G16" s="13">
        <v>9.5</v>
      </c>
      <c r="H16" s="13"/>
      <c r="I16" s="16"/>
      <c r="J16" s="16">
        <v>10</v>
      </c>
      <c r="K16" s="16">
        <v>10</v>
      </c>
      <c r="L16" s="18">
        <f t="shared" si="0"/>
        <v>9.9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2305039981</v>
      </c>
      <c r="C17" s="25" t="s">
        <v>786</v>
      </c>
      <c r="D17" s="23" t="s">
        <v>787</v>
      </c>
      <c r="E17" s="15" t="s">
        <v>788</v>
      </c>
      <c r="F17" s="15">
        <v>10</v>
      </c>
      <c r="G17" s="15">
        <v>10</v>
      </c>
      <c r="H17" s="15"/>
      <c r="I17" s="17"/>
      <c r="J17" s="17">
        <v>10</v>
      </c>
      <c r="K17" s="17">
        <v>9.5</v>
      </c>
      <c r="L17" s="19">
        <f t="shared" si="0"/>
        <v>9.8000000000000007</v>
      </c>
      <c r="M17" s="17" t="s">
        <v>22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2305039982</v>
      </c>
      <c r="C18" s="24" t="s">
        <v>170</v>
      </c>
      <c r="D18" s="22" t="s">
        <v>190</v>
      </c>
      <c r="E18" s="13" t="s">
        <v>789</v>
      </c>
      <c r="F18" s="13">
        <v>10</v>
      </c>
      <c r="G18" s="13">
        <v>10</v>
      </c>
      <c r="H18" s="13"/>
      <c r="I18" s="16"/>
      <c r="J18" s="16">
        <v>10</v>
      </c>
      <c r="K18" s="16">
        <v>7.5</v>
      </c>
      <c r="L18" s="18">
        <f t="shared" si="0"/>
        <v>8.9</v>
      </c>
      <c r="M18" s="16" t="s">
        <v>22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2305039983</v>
      </c>
      <c r="C19" s="24" t="s">
        <v>790</v>
      </c>
      <c r="D19" s="22" t="s">
        <v>194</v>
      </c>
      <c r="E19" s="13" t="s">
        <v>791</v>
      </c>
      <c r="F19" s="13">
        <v>8</v>
      </c>
      <c r="G19" s="13">
        <v>10</v>
      </c>
      <c r="H19" s="13"/>
      <c r="I19" s="16"/>
      <c r="J19" s="16">
        <v>10</v>
      </c>
      <c r="K19" s="16">
        <v>8</v>
      </c>
      <c r="L19" s="18">
        <f t="shared" si="0"/>
        <v>8.9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2305039985</v>
      </c>
      <c r="C20" s="24" t="s">
        <v>792</v>
      </c>
      <c r="D20" s="22" t="s">
        <v>793</v>
      </c>
      <c r="E20" s="13" t="s">
        <v>791</v>
      </c>
      <c r="F20" s="13">
        <v>10</v>
      </c>
      <c r="G20" s="13">
        <v>9.5</v>
      </c>
      <c r="H20" s="13"/>
      <c r="I20" s="16"/>
      <c r="J20" s="16">
        <v>10</v>
      </c>
      <c r="K20" s="16">
        <v>9.5</v>
      </c>
      <c r="L20" s="18">
        <f t="shared" si="0"/>
        <v>9.6999999999999993</v>
      </c>
      <c r="M20" s="16" t="s">
        <v>22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2305039986</v>
      </c>
      <c r="C21" s="24" t="s">
        <v>794</v>
      </c>
      <c r="D21" s="22" t="s">
        <v>388</v>
      </c>
      <c r="E21" s="13" t="s">
        <v>795</v>
      </c>
      <c r="F21" s="13">
        <v>7</v>
      </c>
      <c r="G21" s="13">
        <v>7.5</v>
      </c>
      <c r="H21" s="13"/>
      <c r="I21" s="16"/>
      <c r="J21" s="16">
        <v>10</v>
      </c>
      <c r="K21" s="16">
        <v>7.5</v>
      </c>
      <c r="L21" s="18">
        <f t="shared" si="0"/>
        <v>8.1</v>
      </c>
      <c r="M21" s="16" t="s">
        <v>42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2305039987</v>
      </c>
      <c r="C22" s="25" t="s">
        <v>796</v>
      </c>
      <c r="D22" s="23" t="s">
        <v>69</v>
      </c>
      <c r="E22" s="15" t="s">
        <v>797</v>
      </c>
      <c r="F22" s="15">
        <v>6</v>
      </c>
      <c r="G22" s="15">
        <v>9.5</v>
      </c>
      <c r="H22" s="15"/>
      <c r="I22" s="17"/>
      <c r="J22" s="17">
        <v>10</v>
      </c>
      <c r="K22" s="17">
        <v>9.5</v>
      </c>
      <c r="L22" s="19">
        <f t="shared" si="0"/>
        <v>9.1</v>
      </c>
      <c r="M22" s="17" t="s">
        <v>33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2305039988</v>
      </c>
      <c r="C23" s="24" t="s">
        <v>798</v>
      </c>
      <c r="D23" s="22" t="s">
        <v>305</v>
      </c>
      <c r="E23" s="13" t="s">
        <v>799</v>
      </c>
      <c r="F23" s="13">
        <v>10</v>
      </c>
      <c r="G23" s="13">
        <v>10</v>
      </c>
      <c r="H23" s="13"/>
      <c r="I23" s="16"/>
      <c r="J23" s="16">
        <v>10</v>
      </c>
      <c r="K23" s="16">
        <v>9.5</v>
      </c>
      <c r="L23" s="18">
        <f t="shared" si="0"/>
        <v>9.8000000000000007</v>
      </c>
      <c r="M23" s="16" t="s">
        <v>22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2305039990</v>
      </c>
      <c r="C24" s="24" t="s">
        <v>800</v>
      </c>
      <c r="D24" s="22" t="s">
        <v>72</v>
      </c>
      <c r="E24" s="13" t="s">
        <v>801</v>
      </c>
      <c r="F24" s="13">
        <v>10</v>
      </c>
      <c r="G24" s="13">
        <v>9.5</v>
      </c>
      <c r="H24" s="13"/>
      <c r="I24" s="16"/>
      <c r="J24" s="16">
        <v>10</v>
      </c>
      <c r="K24" s="16">
        <v>9.5</v>
      </c>
      <c r="L24" s="18">
        <f t="shared" si="0"/>
        <v>9.6999999999999993</v>
      </c>
      <c r="M24" s="16" t="s">
        <v>22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2305039991</v>
      </c>
      <c r="C25" s="24" t="s">
        <v>802</v>
      </c>
      <c r="D25" s="22" t="s">
        <v>72</v>
      </c>
      <c r="E25" s="13" t="s">
        <v>422</v>
      </c>
      <c r="F25" s="13">
        <v>9</v>
      </c>
      <c r="G25" s="13">
        <v>9.5</v>
      </c>
      <c r="H25" s="13"/>
      <c r="I25" s="16"/>
      <c r="J25" s="16">
        <v>10</v>
      </c>
      <c r="K25" s="16">
        <v>8</v>
      </c>
      <c r="L25" s="18">
        <f t="shared" si="0"/>
        <v>8.9</v>
      </c>
      <c r="M25" s="16" t="s">
        <v>22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2305039993</v>
      </c>
      <c r="C26" s="24" t="s">
        <v>364</v>
      </c>
      <c r="D26" s="22" t="s">
        <v>803</v>
      </c>
      <c r="E26" s="13" t="s">
        <v>804</v>
      </c>
      <c r="F26" s="13">
        <v>9</v>
      </c>
      <c r="G26" s="13">
        <v>10</v>
      </c>
      <c r="H26" s="13"/>
      <c r="I26" s="16"/>
      <c r="J26" s="16">
        <v>10</v>
      </c>
      <c r="K26" s="16">
        <v>8.5</v>
      </c>
      <c r="L26" s="18">
        <f t="shared" si="0"/>
        <v>9.1999999999999993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2305039994</v>
      </c>
      <c r="C27" s="25" t="s">
        <v>49</v>
      </c>
      <c r="D27" s="23" t="s">
        <v>203</v>
      </c>
      <c r="E27" s="15" t="s">
        <v>805</v>
      </c>
      <c r="F27" s="15">
        <v>7</v>
      </c>
      <c r="G27" s="15">
        <v>10</v>
      </c>
      <c r="H27" s="15"/>
      <c r="I27" s="17"/>
      <c r="J27" s="17">
        <v>9.5</v>
      </c>
      <c r="K27" s="17">
        <v>10</v>
      </c>
      <c r="L27" s="19">
        <f t="shared" si="0"/>
        <v>9.4</v>
      </c>
      <c r="M27" s="17" t="s">
        <v>42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2305039995</v>
      </c>
      <c r="C28" s="24" t="s">
        <v>152</v>
      </c>
      <c r="D28" s="22" t="s">
        <v>87</v>
      </c>
      <c r="E28" s="13" t="s">
        <v>806</v>
      </c>
      <c r="F28" s="13">
        <v>10</v>
      </c>
      <c r="G28" s="13">
        <v>10</v>
      </c>
      <c r="H28" s="13"/>
      <c r="I28" s="16"/>
      <c r="J28" s="16">
        <v>10</v>
      </c>
      <c r="K28" s="16">
        <v>10</v>
      </c>
      <c r="L28" s="18">
        <f t="shared" si="0"/>
        <v>10</v>
      </c>
      <c r="M28" s="16" t="s">
        <v>22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2305039996</v>
      </c>
      <c r="C29" s="24" t="s">
        <v>807</v>
      </c>
      <c r="D29" s="22" t="s">
        <v>95</v>
      </c>
      <c r="E29" s="13" t="s">
        <v>791</v>
      </c>
      <c r="F29" s="13">
        <v>10</v>
      </c>
      <c r="G29" s="13">
        <v>8</v>
      </c>
      <c r="H29" s="13"/>
      <c r="I29" s="16"/>
      <c r="J29" s="16">
        <v>10</v>
      </c>
      <c r="K29" s="16">
        <v>6</v>
      </c>
      <c r="L29" s="18">
        <f t="shared" si="0"/>
        <v>8</v>
      </c>
      <c r="M29" s="16" t="s">
        <v>22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2305039997</v>
      </c>
      <c r="C30" s="24" t="s">
        <v>808</v>
      </c>
      <c r="D30" s="22" t="s">
        <v>98</v>
      </c>
      <c r="E30" s="13" t="s">
        <v>809</v>
      </c>
      <c r="F30" s="13">
        <v>10</v>
      </c>
      <c r="G30" s="13">
        <v>10</v>
      </c>
      <c r="H30" s="13"/>
      <c r="I30" s="16"/>
      <c r="J30" s="16">
        <v>10</v>
      </c>
      <c r="K30" s="16">
        <v>10</v>
      </c>
      <c r="L30" s="18">
        <f t="shared" si="0"/>
        <v>10</v>
      </c>
      <c r="M30" s="16" t="s">
        <v>22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2305039998</v>
      </c>
      <c r="C31" s="24" t="s">
        <v>810</v>
      </c>
      <c r="D31" s="22" t="s">
        <v>98</v>
      </c>
      <c r="E31" s="13" t="s">
        <v>811</v>
      </c>
      <c r="F31" s="13">
        <v>9</v>
      </c>
      <c r="G31" s="13">
        <v>10</v>
      </c>
      <c r="H31" s="13"/>
      <c r="I31" s="16"/>
      <c r="J31" s="16">
        <v>10</v>
      </c>
      <c r="K31" s="16">
        <v>9.5</v>
      </c>
      <c r="L31" s="18">
        <f t="shared" si="0"/>
        <v>9.6</v>
      </c>
      <c r="M31" s="16" t="s">
        <v>22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2305040000</v>
      </c>
      <c r="C32" s="25" t="s">
        <v>812</v>
      </c>
      <c r="D32" s="23" t="s">
        <v>103</v>
      </c>
      <c r="E32" s="15" t="s">
        <v>813</v>
      </c>
      <c r="F32" s="15">
        <v>9</v>
      </c>
      <c r="G32" s="15">
        <v>5</v>
      </c>
      <c r="H32" s="15"/>
      <c r="I32" s="17"/>
      <c r="J32" s="17">
        <v>10</v>
      </c>
      <c r="K32" s="17">
        <v>7</v>
      </c>
      <c r="L32" s="19">
        <f t="shared" si="0"/>
        <v>7.9</v>
      </c>
      <c r="M32" s="17" t="s">
        <v>22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2305040001</v>
      </c>
      <c r="C33" s="24" t="s">
        <v>814</v>
      </c>
      <c r="D33" s="22" t="s">
        <v>328</v>
      </c>
      <c r="E33" s="13" t="s">
        <v>815</v>
      </c>
      <c r="F33" s="13">
        <v>9</v>
      </c>
      <c r="G33" s="13">
        <v>8.5</v>
      </c>
      <c r="H33" s="13"/>
      <c r="I33" s="16"/>
      <c r="J33" s="16">
        <v>10</v>
      </c>
      <c r="K33" s="16">
        <v>9.5</v>
      </c>
      <c r="L33" s="18">
        <f t="shared" si="0"/>
        <v>9.4</v>
      </c>
      <c r="M33" s="16" t="s">
        <v>22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2305040002</v>
      </c>
      <c r="C34" s="24" t="s">
        <v>816</v>
      </c>
      <c r="D34" s="22" t="s">
        <v>105</v>
      </c>
      <c r="E34" s="13" t="s">
        <v>817</v>
      </c>
      <c r="F34" s="13">
        <v>9</v>
      </c>
      <c r="G34" s="13">
        <v>9.5</v>
      </c>
      <c r="H34" s="13"/>
      <c r="I34" s="16"/>
      <c r="J34" s="16">
        <v>10</v>
      </c>
      <c r="K34" s="16">
        <v>10</v>
      </c>
      <c r="L34" s="18">
        <f t="shared" si="0"/>
        <v>9.8000000000000007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2305040003</v>
      </c>
      <c r="C35" s="24" t="s">
        <v>818</v>
      </c>
      <c r="D35" s="22" t="s">
        <v>108</v>
      </c>
      <c r="E35" s="13" t="s">
        <v>819</v>
      </c>
      <c r="F35" s="13">
        <v>9</v>
      </c>
      <c r="G35" s="13">
        <v>9</v>
      </c>
      <c r="H35" s="13"/>
      <c r="I35" s="16"/>
      <c r="J35" s="16">
        <v>10</v>
      </c>
      <c r="K35" s="16">
        <v>10</v>
      </c>
      <c r="L35" s="18">
        <f t="shared" si="0"/>
        <v>9.6999999999999993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2305040004</v>
      </c>
      <c r="C36" s="24" t="s">
        <v>820</v>
      </c>
      <c r="D36" s="22" t="s">
        <v>821</v>
      </c>
      <c r="E36" s="13" t="s">
        <v>822</v>
      </c>
      <c r="F36" s="13">
        <v>10</v>
      </c>
      <c r="G36" s="13">
        <v>9</v>
      </c>
      <c r="H36" s="13"/>
      <c r="I36" s="16"/>
      <c r="J36" s="16">
        <v>10</v>
      </c>
      <c r="K36" s="16">
        <v>9</v>
      </c>
      <c r="L36" s="18">
        <f t="shared" si="0"/>
        <v>9.4</v>
      </c>
      <c r="M36" s="16" t="s">
        <v>22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2305040005</v>
      </c>
      <c r="C37" s="25" t="s">
        <v>823</v>
      </c>
      <c r="D37" s="23" t="s">
        <v>224</v>
      </c>
      <c r="E37" s="15" t="s">
        <v>824</v>
      </c>
      <c r="F37" s="15">
        <v>10</v>
      </c>
      <c r="G37" s="15">
        <v>8.5</v>
      </c>
      <c r="H37" s="15"/>
      <c r="I37" s="17"/>
      <c r="J37" s="17">
        <v>10</v>
      </c>
      <c r="K37" s="17">
        <v>10</v>
      </c>
      <c r="L37" s="19">
        <f t="shared" si="0"/>
        <v>9.8000000000000007</v>
      </c>
      <c r="M37" s="17" t="s">
        <v>22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2305040006</v>
      </c>
      <c r="C38" s="24" t="s">
        <v>825</v>
      </c>
      <c r="D38" s="22" t="s">
        <v>122</v>
      </c>
      <c r="E38" s="13" t="s">
        <v>826</v>
      </c>
      <c r="F38" s="13">
        <v>9</v>
      </c>
      <c r="G38" s="13">
        <v>8.5</v>
      </c>
      <c r="H38" s="13"/>
      <c r="I38" s="16"/>
      <c r="J38" s="16">
        <v>10</v>
      </c>
      <c r="K38" s="16">
        <v>6.5</v>
      </c>
      <c r="L38" s="18">
        <f t="shared" si="0"/>
        <v>8.1</v>
      </c>
      <c r="M38" s="16" t="s">
        <v>22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2305040007</v>
      </c>
      <c r="C39" s="24" t="s">
        <v>827</v>
      </c>
      <c r="D39" s="22" t="s">
        <v>236</v>
      </c>
      <c r="E39" s="13" t="s">
        <v>828</v>
      </c>
      <c r="F39" s="13">
        <v>5</v>
      </c>
      <c r="G39" s="13">
        <v>7.5</v>
      </c>
      <c r="H39" s="13"/>
      <c r="I39" s="16"/>
      <c r="J39" s="16">
        <v>9.5</v>
      </c>
      <c r="K39" s="16">
        <v>6</v>
      </c>
      <c r="L39" s="18">
        <f t="shared" si="0"/>
        <v>7.1</v>
      </c>
      <c r="M39" s="16" t="s">
        <v>274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2305040008</v>
      </c>
      <c r="C40" s="24" t="s">
        <v>829</v>
      </c>
      <c r="D40" s="22" t="s">
        <v>752</v>
      </c>
      <c r="E40" s="13" t="s">
        <v>788</v>
      </c>
      <c r="F40" s="13">
        <v>9</v>
      </c>
      <c r="G40" s="13">
        <v>10</v>
      </c>
      <c r="H40" s="13"/>
      <c r="I40" s="16"/>
      <c r="J40" s="16">
        <v>10</v>
      </c>
      <c r="K40" s="16">
        <v>8</v>
      </c>
      <c r="L40" s="18">
        <f t="shared" si="0"/>
        <v>9</v>
      </c>
      <c r="M40" s="16" t="s">
        <v>22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2305040009</v>
      </c>
      <c r="C41" s="24" t="s">
        <v>830</v>
      </c>
      <c r="D41" s="22" t="s">
        <v>753</v>
      </c>
      <c r="E41" s="13" t="s">
        <v>831</v>
      </c>
      <c r="F41" s="13">
        <v>10</v>
      </c>
      <c r="G41" s="13">
        <v>9.5</v>
      </c>
      <c r="H41" s="13"/>
      <c r="I41" s="16"/>
      <c r="J41" s="16">
        <v>10</v>
      </c>
      <c r="K41" s="16">
        <v>7.5</v>
      </c>
      <c r="L41" s="18">
        <f t="shared" si="0"/>
        <v>8.9</v>
      </c>
      <c r="M41" s="16" t="s">
        <v>22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2305040010</v>
      </c>
      <c r="C42" s="25" t="s">
        <v>55</v>
      </c>
      <c r="D42" s="23" t="s">
        <v>238</v>
      </c>
      <c r="E42" s="15" t="s">
        <v>832</v>
      </c>
      <c r="F42" s="15">
        <v>10</v>
      </c>
      <c r="G42" s="15">
        <v>10</v>
      </c>
      <c r="H42" s="15"/>
      <c r="I42" s="17"/>
      <c r="J42" s="17">
        <v>10</v>
      </c>
      <c r="K42" s="17">
        <v>8.5</v>
      </c>
      <c r="L42" s="19">
        <f t="shared" si="0"/>
        <v>9.4</v>
      </c>
      <c r="M42" s="17" t="s">
        <v>22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2305040011</v>
      </c>
      <c r="C43" s="24" t="s">
        <v>818</v>
      </c>
      <c r="D43" s="22" t="s">
        <v>241</v>
      </c>
      <c r="E43" s="13" t="s">
        <v>833</v>
      </c>
      <c r="F43" s="13">
        <v>9</v>
      </c>
      <c r="G43" s="13">
        <v>9.5</v>
      </c>
      <c r="H43" s="13"/>
      <c r="I43" s="16"/>
      <c r="J43" s="16">
        <v>10</v>
      </c>
      <c r="K43" s="16">
        <v>8.5</v>
      </c>
      <c r="L43" s="18">
        <f t="shared" si="0"/>
        <v>9.1</v>
      </c>
      <c r="M43" s="16" t="s">
        <v>22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2305040012</v>
      </c>
      <c r="C44" s="24" t="s">
        <v>834</v>
      </c>
      <c r="D44" s="22" t="s">
        <v>241</v>
      </c>
      <c r="E44" s="13" t="s">
        <v>811</v>
      </c>
      <c r="F44" s="13">
        <v>10</v>
      </c>
      <c r="G44" s="13">
        <v>10</v>
      </c>
      <c r="H44" s="13"/>
      <c r="I44" s="16"/>
      <c r="J44" s="16">
        <v>10</v>
      </c>
      <c r="K44" s="16">
        <v>10</v>
      </c>
      <c r="L44" s="18">
        <f t="shared" si="0"/>
        <v>10</v>
      </c>
      <c r="M44" s="16" t="s">
        <v>22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2305040013</v>
      </c>
      <c r="C45" s="24" t="s">
        <v>835</v>
      </c>
      <c r="D45" s="22" t="s">
        <v>241</v>
      </c>
      <c r="E45" s="13" t="s">
        <v>615</v>
      </c>
      <c r="F45" s="13">
        <v>10</v>
      </c>
      <c r="G45" s="13">
        <v>10</v>
      </c>
      <c r="H45" s="13"/>
      <c r="I45" s="16"/>
      <c r="J45" s="16">
        <v>10</v>
      </c>
      <c r="K45" s="16">
        <v>10</v>
      </c>
      <c r="L45" s="18">
        <f t="shared" si="0"/>
        <v>10</v>
      </c>
      <c r="M45" s="16" t="s">
        <v>22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2306004362</v>
      </c>
      <c r="C46" s="24" t="s">
        <v>836</v>
      </c>
      <c r="D46" s="22" t="s">
        <v>128</v>
      </c>
      <c r="E46" s="13" t="s">
        <v>837</v>
      </c>
      <c r="F46" s="13">
        <v>6</v>
      </c>
      <c r="G46" s="13">
        <v>7</v>
      </c>
      <c r="H46" s="13"/>
      <c r="I46" s="16"/>
      <c r="J46" s="16">
        <v>9</v>
      </c>
      <c r="K46" s="16">
        <v>6</v>
      </c>
      <c r="L46" s="18">
        <f t="shared" si="0"/>
        <v>7</v>
      </c>
      <c r="M46" s="16" t="s">
        <v>274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2305040014</v>
      </c>
      <c r="C47" s="25" t="s">
        <v>838</v>
      </c>
      <c r="D47" s="23" t="s">
        <v>255</v>
      </c>
      <c r="E47" s="15" t="s">
        <v>839</v>
      </c>
      <c r="F47" s="15">
        <v>10</v>
      </c>
      <c r="G47" s="15">
        <v>9.5</v>
      </c>
      <c r="H47" s="15"/>
      <c r="I47" s="17"/>
      <c r="J47" s="17">
        <v>10</v>
      </c>
      <c r="K47" s="17">
        <v>10</v>
      </c>
      <c r="L47" s="19">
        <f t="shared" si="0"/>
        <v>9.9</v>
      </c>
      <c r="M47" s="17" t="s">
        <v>22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2305040015</v>
      </c>
      <c r="C48" s="24" t="s">
        <v>840</v>
      </c>
      <c r="D48" s="22" t="s">
        <v>841</v>
      </c>
      <c r="E48" s="13" t="s">
        <v>842</v>
      </c>
      <c r="F48" s="13">
        <v>9</v>
      </c>
      <c r="G48" s="13">
        <v>10</v>
      </c>
      <c r="H48" s="13"/>
      <c r="I48" s="16"/>
      <c r="J48" s="16">
        <v>10</v>
      </c>
      <c r="K48" s="16">
        <v>7.5</v>
      </c>
      <c r="L48" s="18">
        <f t="shared" si="0"/>
        <v>8.8000000000000007</v>
      </c>
      <c r="M48" s="16" t="s">
        <v>22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0">
        <v>42</v>
      </c>
      <c r="B49" s="13">
        <v>2305040016</v>
      </c>
      <c r="C49" s="24" t="s">
        <v>441</v>
      </c>
      <c r="D49" s="22" t="s">
        <v>258</v>
      </c>
      <c r="E49" s="13" t="s">
        <v>551</v>
      </c>
      <c r="F49" s="13">
        <v>9</v>
      </c>
      <c r="G49" s="13">
        <v>9.5</v>
      </c>
      <c r="H49" s="13"/>
      <c r="I49" s="16"/>
      <c r="J49" s="16">
        <v>10</v>
      </c>
      <c r="K49" s="16">
        <v>8</v>
      </c>
      <c r="L49" s="18">
        <f t="shared" si="0"/>
        <v>8.9</v>
      </c>
      <c r="M49" s="16" t="s">
        <v>22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20">
        <v>43</v>
      </c>
      <c r="B50" s="13">
        <v>2304663159</v>
      </c>
      <c r="C50" s="24" t="s">
        <v>603</v>
      </c>
      <c r="D50" s="22" t="s">
        <v>139</v>
      </c>
      <c r="E50" s="13" t="s">
        <v>843</v>
      </c>
      <c r="F50" s="13">
        <v>10</v>
      </c>
      <c r="G50" s="13">
        <v>9.5</v>
      </c>
      <c r="H50" s="13"/>
      <c r="I50" s="16"/>
      <c r="J50" s="16">
        <v>10</v>
      </c>
      <c r="K50" s="16">
        <v>10</v>
      </c>
      <c r="L50" s="18">
        <f t="shared" si="0"/>
        <v>9.9</v>
      </c>
      <c r="M50" s="16" t="s">
        <v>22</v>
      </c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20">
        <v>44</v>
      </c>
      <c r="B51" s="13">
        <v>2305040017</v>
      </c>
      <c r="C51" s="24" t="s">
        <v>844</v>
      </c>
      <c r="D51" s="22" t="s">
        <v>139</v>
      </c>
      <c r="E51" s="13" t="s">
        <v>845</v>
      </c>
      <c r="F51" s="13">
        <v>9</v>
      </c>
      <c r="G51" s="13">
        <v>8</v>
      </c>
      <c r="H51" s="13"/>
      <c r="I51" s="16"/>
      <c r="J51" s="16">
        <v>10</v>
      </c>
      <c r="K51" s="16">
        <v>8</v>
      </c>
      <c r="L51" s="18">
        <f t="shared" si="0"/>
        <v>8.6999999999999993</v>
      </c>
      <c r="M51" s="16" t="s">
        <v>22</v>
      </c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2.75" customHeight="1" x14ac:dyDescent="0.35">
      <c r="A52" s="21">
        <v>45</v>
      </c>
      <c r="B52" s="15">
        <v>2305040018</v>
      </c>
      <c r="C52" s="25" t="s">
        <v>846</v>
      </c>
      <c r="D52" s="23" t="s">
        <v>139</v>
      </c>
      <c r="E52" s="15" t="s">
        <v>847</v>
      </c>
      <c r="F52" s="15">
        <v>10</v>
      </c>
      <c r="G52" s="15">
        <v>10</v>
      </c>
      <c r="H52" s="15"/>
      <c r="I52" s="17"/>
      <c r="J52" s="17">
        <v>10</v>
      </c>
      <c r="K52" s="17">
        <v>9.5</v>
      </c>
      <c r="L52" s="19">
        <f t="shared" si="0"/>
        <v>9.8000000000000007</v>
      </c>
      <c r="M52" s="17" t="s">
        <v>22</v>
      </c>
      <c r="N52" s="11"/>
      <c r="O52" s="11"/>
      <c r="P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2.75" customHeight="1" x14ac:dyDescent="0.35">
      <c r="A53" s="21">
        <v>46</v>
      </c>
      <c r="B53" s="15">
        <v>2305040019</v>
      </c>
      <c r="C53" s="25" t="s">
        <v>207</v>
      </c>
      <c r="D53" s="23" t="s">
        <v>612</v>
      </c>
      <c r="E53" s="15" t="s">
        <v>848</v>
      </c>
      <c r="F53" s="15">
        <v>10</v>
      </c>
      <c r="G53" s="15">
        <v>10</v>
      </c>
      <c r="H53" s="15"/>
      <c r="I53" s="17"/>
      <c r="J53" s="17">
        <v>10</v>
      </c>
      <c r="K53" s="17">
        <v>10</v>
      </c>
      <c r="L53" s="19">
        <f t="shared" si="0"/>
        <v>10</v>
      </c>
      <c r="M53" s="17" t="s">
        <v>22</v>
      </c>
      <c r="N53" s="11"/>
      <c r="O53" s="11"/>
      <c r="P53" s="1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ht="12.75" customHeight="1" x14ac:dyDescent="0.35">
      <c r="A54" s="39" t="s">
        <v>141</v>
      </c>
      <c r="B54" s="40"/>
      <c r="C54" s="41"/>
      <c r="D54" s="41"/>
      <c r="E54" s="41"/>
      <c r="F54" s="40"/>
      <c r="G54" s="40"/>
      <c r="H54" s="40"/>
      <c r="I54" s="40"/>
      <c r="J54" s="42"/>
      <c r="K54" s="8"/>
      <c r="L54" s="9"/>
      <c r="M54" s="10"/>
      <c r="N54" s="11"/>
      <c r="O54" s="11"/>
      <c r="P54" s="1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ht="12.75" customHeight="1" x14ac:dyDescent="0.35">
      <c r="A55" s="43"/>
      <c r="B55" s="33"/>
      <c r="C55" s="44"/>
      <c r="D55" s="45"/>
      <c r="E55" s="45"/>
      <c r="F55" s="46"/>
      <c r="G55" s="46"/>
      <c r="H55" s="46"/>
      <c r="I55" s="46"/>
      <c r="J55" s="47"/>
    </row>
    <row r="56" spans="1:37" ht="12.75" customHeight="1" x14ac:dyDescent="0.35">
      <c r="A56" s="48" t="s">
        <v>142</v>
      </c>
      <c r="B56" s="33"/>
      <c r="C56" s="44"/>
      <c r="D56" s="45" t="s">
        <v>143</v>
      </c>
      <c r="E56" s="45"/>
      <c r="F56" s="46" t="str">
        <f>TEXT(COUNTIF(L8:L53,"&gt;="&amp;Q56),"#0")</f>
        <v>42</v>
      </c>
      <c r="G56" s="46"/>
      <c r="H56" s="31" t="s">
        <v>144</v>
      </c>
      <c r="I56" s="46" t="str">
        <f>ROUND(F56/IF(COUNTIF(L8:L53,"&gt;=0")=0,1,COUNTIF(L8:L53,"&gt;=0")),4)*100&amp;"%"</f>
        <v>91.3%</v>
      </c>
      <c r="J56" s="47"/>
      <c r="Q56" s="26">
        <v>7.95</v>
      </c>
    </row>
    <row r="57" spans="1:37" ht="12.75" customHeight="1" x14ac:dyDescent="0.35">
      <c r="A57" s="43" t="s">
        <v>145</v>
      </c>
      <c r="B57" s="33"/>
      <c r="C57" s="44"/>
      <c r="D57" s="45" t="s">
        <v>146</v>
      </c>
      <c r="E57" s="45"/>
      <c r="F57" s="46" t="str">
        <f>TEXT(COUNTIF(L8:L53,"&gt;="&amp;Q57)-F56,"#0")</f>
        <v>4</v>
      </c>
      <c r="G57" s="46"/>
      <c r="H57" s="31" t="s">
        <v>144</v>
      </c>
      <c r="I57" s="46" t="str">
        <f>ROUND(F57/IF(COUNTIF(L8:L53,"&gt;=0")=0,1,COUNTIF(L8:L53,"&gt;=0")),4)*100&amp;"%"</f>
        <v>8.7%</v>
      </c>
      <c r="J57" s="47"/>
      <c r="Q57" s="26">
        <v>6.45</v>
      </c>
    </row>
    <row r="58" spans="1:37" ht="12.75" customHeight="1" x14ac:dyDescent="0.35">
      <c r="A58" s="27"/>
      <c r="D58" s="45" t="s">
        <v>147</v>
      </c>
      <c r="E58" s="45"/>
      <c r="F58" s="46" t="str">
        <f>TEXT(COUNTIF(L8:L53,"&gt;="&amp;Q58)-F57-F56,"#0")</f>
        <v>0</v>
      </c>
      <c r="G58" s="46"/>
      <c r="H58" s="31" t="s">
        <v>144</v>
      </c>
      <c r="I58" s="46" t="str">
        <f>ROUND(F58/IF(COUNTIF(L8:L53,"&gt;=0")=0,1,COUNTIF(L8:L53,"&gt;=0")),4)*100&amp;"%"</f>
        <v>0%</v>
      </c>
      <c r="J58" s="47"/>
      <c r="Q58" s="26">
        <v>4.95</v>
      </c>
    </row>
    <row r="59" spans="1:37" ht="12.75" customHeight="1" x14ac:dyDescent="0.35">
      <c r="A59" s="28"/>
      <c r="B59" s="29"/>
      <c r="C59" s="30"/>
      <c r="D59" s="49" t="s">
        <v>148</v>
      </c>
      <c r="E59" s="49"/>
      <c r="F59" s="50" t="str">
        <f>TEXT(COUNTIF(L8:L53,"&gt;=0")-F55-F56-F57-F58,"#0")</f>
        <v>0</v>
      </c>
      <c r="G59" s="50"/>
      <c r="H59" s="32" t="s">
        <v>144</v>
      </c>
      <c r="I59" s="50" t="str">
        <f>ROUND(F59/IF(COUNTIF(L8:L53,"&gt;=0")=0,1,COUNTIF(L8:L53,"&gt;=0")),4)*100&amp;"%"</f>
        <v>0%</v>
      </c>
      <c r="J59" s="51"/>
    </row>
    <row r="65536" ht="14.5" x14ac:dyDescent="0.35"/>
  </sheetData>
  <mergeCells count="32">
    <mergeCell ref="D58:E58"/>
    <mergeCell ref="F58:G58"/>
    <mergeCell ref="I58:J58"/>
    <mergeCell ref="D59:E59"/>
    <mergeCell ref="F59:G59"/>
    <mergeCell ref="I59:J59"/>
    <mergeCell ref="A54:J55"/>
    <mergeCell ref="A56:C56"/>
    <mergeCell ref="D56:E56"/>
    <mergeCell ref="F56:G56"/>
    <mergeCell ref="I56:J56"/>
    <mergeCell ref="A57:C57"/>
    <mergeCell ref="D57:E57"/>
    <mergeCell ref="F57:G57"/>
    <mergeCell ref="I57:J57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78">
    <dataValidation type="list" allowBlank="1" showInputMessage="1" showErrorMessage="1" errorTitle="Thông báo" error="Bạn phải nhập [Đạt] = d, Đ, đ, 1   [Chưa đạt] = c, CĐ, cđ, 2" sqref="C5" xr:uid="{D689B6B8-CCDD-4A2D-B554-0C5F36851126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65551362-31F5-406E-AB6C-F65628F49FD1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3DC7C6B1-2657-449F-A16A-F7EEFD071B93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7A163D3C-F5CE-48C8-AEB1-16F0A12F6221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DB180B9A-4893-436F-8F14-1154A6107707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6B003A10-920D-4737-BAEF-5EB446C3288C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95704AD7-01FF-4EB3-A524-10786CEA7C14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ECA8BEBD-FDA4-4DA6-BDE3-50691629CC4B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3219DFB7-82A2-412B-B6F8-B83BBFD83AFE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D31AB741-692C-43CE-9E94-28956625CAB4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05E0A976-3771-481A-8047-DE63CA9D302E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6B81F359-EE30-4714-9F80-2E14741840C3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58D2DF8E-79E5-4B67-8DFB-73834D6FBB12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E70BB9EE-59FB-47BA-BA22-DAF27B540677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44AAFABB-F054-431D-922A-43EA98D99873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6136E551-B749-4642-993E-7BDFAE38E0D4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6DE7E34F-8433-47FA-99E4-A15F8C1F88E5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1538840A-B192-4FFF-A6B2-DB2F1CB19A62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7F4C2CF7-953B-4193-8EDB-B4CEFA2789D5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60A56A02-5249-4DEB-A17E-3006C53463B3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C19A4AA4-502D-4ADC-9055-CEFB920DCB89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248B4FFE-57CE-4C19-A0C4-8742FEBCB4DA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249EC76D-29D8-4D07-8F46-365590DA9F65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18AA1F2C-1B36-46A0-ABE5-7247161B5944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CDDB256F-5012-40C9-A081-B852F1984EA0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AF116793-0381-480B-8B31-FCB00D288E2E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0F1A7F93-2430-4F02-8043-21EE73005462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8F44E6D0-56D5-4A84-ADB8-A24B73E32635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3CFAFE3E-E1BA-4422-85DD-A97AC5795BA7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4FE3A8D3-F626-489F-B3F0-E1E71B1718B8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CEEBEC31-9C98-410D-8BD7-A5E781BE5A10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BBED6EB0-E1BD-48F1-95A5-6CFA84E78F3E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89230DEE-BF00-4506-AF18-B778B842E031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48ADB032-4A89-4642-BB08-E07D87B9D825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E093B136-EC54-463A-AD58-26A2ED71747B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5DD6EA74-6CF1-4C3E-95E7-1EF253F40C88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71A66CE5-FEE7-489D-BADB-446E3C94129B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9F30F6E3-9623-44BA-83CF-626F6C664ECF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A7540AC8-98E2-4953-B7E5-480DD231FEE0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559146FA-E1A3-4E87-8774-621F61B6C615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633D2813-046D-4C1B-93F6-AF4178C01F08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E6B745D8-F497-4352-B71A-8ED4861A83FC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9825387D-8685-4CC0-BDB2-B5AED7696340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9C43DEEF-75F7-4FE9-BDD5-A8C4515A502E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7C1BE04F-94EA-4B55-A711-A36221EA5E6E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03537D55-96DA-4352-9027-BD39A8AE0FE6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C5C2D0EE-1322-40F9-948E-0BAAFFBC8791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8E5460E1-874D-490F-B7CD-68AB410172DE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A21D3242-9E19-4D9F-B1FD-A577B6DFB94A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AACAFCC1-7C48-46B7-B432-0BB35C9EF8E2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149F1D24-C2AE-46E8-829D-6B6F1A3A76C3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97B1559E-29C8-4F89-9A7C-53A2B131BE59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54815682-BA06-4710-85F4-30FAF5580908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2F1BCA0D-6F14-49E7-BBC2-33739E16DFA4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BC940750-5CAD-46C4-A47D-AE9E7B4DED7C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A98B8089-BD3F-4EF2-AAC9-D2507A71A075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998C6C6B-1CA1-4BB5-9AA4-A236896E9BAC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B1611BA8-0E26-45C7-8403-FB6A148C7ED0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82491AF8-07D1-4BA1-B1D0-417568B6B71A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EDB54618-4A3A-4035-8F21-F7BCB50A0ADE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64CEE861-2155-4BA6-A1B9-F521B7CB7BE1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FB9B80F5-871C-4C20-98A5-66F822D31947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544C7924-D089-40BE-917A-A8FFCB3B26FE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799B86B3-7DB0-48B0-9634-F4B69EB6B5C3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A118C732-F2C8-438F-847B-C7BD3EC10C5C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276104FF-7CD7-41D6-ACFE-08A76490E4A6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DEAE366A-F4D1-451F-899F-72119DA53D04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9B9F5851-9A2C-4EDB-8074-0F73C97225D5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6993EEB7-9B34-468F-B41A-3AF76CE1E31A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0CEE9759-8E5F-4784-BDC1-6366612AAAAE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39B37455-F703-4E6F-AF6E-7A8B87975903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ACC546A1-232C-409A-A4DF-96BCA7229773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C909F796-D92A-4641-9969-D89D2C0B7C71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EAD33029-8E15-4E3F-A7C1-E281FE9F0D70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90EB102C-29F7-45BA-A111-40737DAAE272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D94DA151-DBA9-460B-9504-83F65ED63E51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6C7DBE77-290A-47A0-BD12-A96CD6F1F129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9B6FF859-5AEE-4B9A-B32E-1CD127F4BD8B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1C8C5E69-32B9-46F2-BD33-B95BB60EA0B6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884D98E2-D3FD-4C3C-B8F0-29F9CDC4EAD8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2C17038E-5A74-45D7-B166-B9A7049E6DD1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665C8E22-79B3-4D17-95F5-600CBCEB7EAA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FF316ED6-D264-4C33-B13B-1A9CF04C08AC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6DBBD675-A48B-40B2-997A-D6A07779DAAC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F5EF83F0-B344-413E-AD20-3F4B7901BA0C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274D3E16-E5B2-4628-9C57-947814558CE8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BEBD5994-24C7-43FB-8149-DE635F4686E8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3ED12111-453C-46DD-B199-1282C2825F37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DC942C46-064A-4B3E-8396-6D96A0991B70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A2D80DD6-0034-4B04-A23F-813B9A130E28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3DC339B1-141C-481E-B63A-88D24DC89711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AFB7D31C-AB0A-4423-8293-A55F0FD75E00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58480196-CEB6-4E2F-9EC8-1BBA6C98AFF6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77F0A420-5116-40B2-8BA7-4DB99F617221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4202364E-3905-4E28-9EFD-58CA40AB3415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49497FB8-A50E-48F9-ABB5-94B69F3122C6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81466C2B-5474-45D1-9F48-DF6EA71262CB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8D2BF794-A731-4906-A396-E9F10BD594D8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021BAA5A-2916-4A40-B67F-58C900E8B4D6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D23D257C-8020-486F-A1D6-5CB52546A0CE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29429C5C-75AF-4201-A2D3-010A342CD354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4902E863-8DB4-4D3F-885D-D22CB37819C9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8C8A4BA5-4E10-4C3A-B747-60A6A3C6F9A0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AEFB0E02-9475-48CA-BE21-CA62D11ADF24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F22119E9-8C91-4C63-93F9-8FE15BC89D8D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D5DE7A83-728A-4EA5-AA5E-4EAA9640DB9D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92BA2DAB-9263-49BE-941E-408F6818CFF2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FF765855-06F2-4ED8-A34A-6048AA5ECA06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92B75DE8-B4F8-4893-A366-5C04FF9AA259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D953E1D5-2B4E-4F45-9AE8-2A0AD0031FE1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0007BA38-EDCB-42E2-949E-B18190B248BC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E555EA9F-B24E-4C20-A3AE-EDDA707F7A73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127BB74F-D4A0-4191-A202-DC674B6382BF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4312F32D-8A69-4602-B105-5C55B5C11EC1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C626F4EB-80CC-47D9-94C7-E2991B001B7A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AC69A18C-D0AF-4FB4-AE0A-7CDEA1D82BA1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CAEFD053-433B-4E52-9A58-C3B247A3F21A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104BB956-1724-4AE3-87D4-FFC033DBA8EF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3F45EED6-17CC-4C72-B2D9-5593DC3860F3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DCCFF29B-8162-475A-BFB4-59E4CEB49681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DED86291-7590-4E37-BCEC-FE3CF30244F3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4418548F-D74E-4D21-BC13-C605F9A9C329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18147896-7340-4661-8402-D7F55483C42A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ECA493B8-69E7-4F0C-B16C-15FFB66F7923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7F558DE3-6B78-4638-BC80-3DE2C02F2680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A9720B37-63A5-4570-A9EB-BAF4397B993F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3D48C82E-A880-404C-9760-30D522BAA03F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13B89F7D-FCB6-44D7-A601-87C3898FB6BE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35038E09-1C75-491A-9855-8B734CBDA93C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6B552957-4C64-4C8F-9AC8-D0AB54A77188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E0F81E15-A398-4753-A7F7-3C6DC6993717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0F111971-BA0A-4BA9-9792-5E97DAA27D2D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4E4C0285-8109-40AB-B4D2-904E7843AB96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612DC00E-3DA5-445B-90BD-178482F23946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7D558888-562D-464A-9C89-EE500D1F898F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9FC9C593-A5D8-4B4B-8596-B88C9675D357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4B0358B0-E8FC-4109-9947-B5A392B487BF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8B6047E1-6D32-4C1A-A976-EE0B961152F9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178200DD-F748-4D26-8351-97B981BED5A1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52A7C8A5-581D-41A4-BCEF-151F1B58A7A7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4308304A-955A-413B-94F3-CEBDBCD38C9A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00890FEB-DDD9-422A-B256-3BDD9A7C3D4B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3934B572-A0CB-4365-B42A-9231EF654A5E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93595A16-1145-4C0F-A2C7-B2A8AF3A46C7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CD4A52C0-3439-44C3-BFA4-269A5582D529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9AF95371-0AA7-41E5-8FF4-7AF6D038589E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A0C6C98F-E3B7-4602-BDC7-F0085590D14C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CD95C86B-DE5B-49B8-812E-63E10E8341DC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A4231CB2-2500-4646-B4EC-0C01C55F50F3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9CFF797D-AB2F-4226-A91F-7790A61A2F80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6C5022BD-71FB-47E9-8DDF-DED831DDD09C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E4DB0D0F-12F0-47D5-8C5D-AD6A8D3D13D8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E060CE87-A595-423D-9C72-03512BBE2185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8B2A33EC-B721-4A82-8C37-4C31FA01C9E4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1726ED32-9BF6-44E3-B0C7-EE8E3BB6BBAD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12E5366B-D52E-46BF-AA0D-CD2EDFC6990C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75AD68A7-5E96-477A-97D0-173E24D56EB2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D29D9131-7711-405D-9E08-6D33506B4557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0B967041-BE18-4BF7-A896-BA7CEDB4E2F3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FFB02EA3-7EDD-4B8F-ADE0-FC931C5B58E9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7ECAC877-8D45-45BC-9E88-A3336CE66EC8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4CD55DB7-0EA0-46C5-A14F-155ABA36C152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31E1F775-76DC-4F8B-8B97-5A96956E5CEC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C5CC110A-73DC-4035-9D77-A2271E882980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03CC232E-27AC-45AE-8871-124BCFF32FA5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1FBD36E4-85ED-4DC7-BCD1-C6BB4B27B185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5EB07AAE-6E09-472D-9E20-9D2729BE172F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CFC65464-5925-4FB6-A1B3-1DFAF7686719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60DB7CA3-9266-46C2-88B7-A59C94DA1A30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31752E9D-BDEB-407E-8CD3-DBAABD42BF77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50178DA2-FDA4-4A0F-8CD1-6A8BB353882E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E2BA54AE-DECF-4DA1-9718-F2C8D6ED146D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A12ED42F-B83F-459E-B677-41008332C263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53926F83-A497-451B-AEB7-24C952A1F8D9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EA7DE59F-4670-42D4-AFDB-1F25D255104A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745EFDA5-46EC-4121-BE59-F4E9CC1F4ACF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D419A7DB-CC76-4D7F-B9D3-D21A09C083D8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F5155C47-10FD-487E-A6D0-AF8D6B00E0A4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0C67FB24-DCC8-4E7A-9188-6BC3E5088682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ED79FAD9-B0AF-4954-81E7-F0C3425784F1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49AEBF33-8FBE-47D1-9F78-9E2980E198F8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BF5A65E7-1E35-42BB-8546-3D709C62BA79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4EF788E3-5934-47EE-9E0F-F2BB64D66171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80D65F07-0560-49B1-8D4D-FDE1D649BD19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C17D22E2-FC2C-4FA9-86E5-A1F5899543F8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B2563E92-BF5B-489A-B9C9-14D444F82544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9887E929-4880-4AD9-A1CF-7F8CA10DB026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62825F49-385A-4CCD-BA44-9EBECC218E26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94757E1F-E053-4295-B39A-B8806DDFC34C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9E60C8A3-218A-42BB-8F34-8DCFC75851F2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AF5F92E2-E86D-4903-9780-BCA6E16523B0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E4449EBF-D886-4C89-BA4E-B6F648D02F0B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270DFF91-EA16-4E61-87F4-41A7F1462727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ED267CFB-5ED0-4701-B971-185C1E7C9698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3F16C02E-FF1A-4CB7-BE8B-4A1D16399A39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E095EE98-E569-43C4-AEC0-354846CAA923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805DFFDB-C266-47A7-97BA-33DF592F3FF4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A774B603-507C-48FE-8F63-A894A1DECB67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DF9B6850-BB1A-4F31-A0D4-64807F0E2B09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00B8B504-CBDD-48D3-8632-5A9758EACA68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96C29EE0-4B89-460E-A9B0-33EA2CA1DD91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87F59C8A-B403-4AE2-8666-A3C9243CB41E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1F74B851-B034-4185-9A04-6C52F26F35A4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B89AB5CF-D318-46E5-9F62-82EBFB9D035F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ACF09F0B-3D7F-4F30-9C14-C98590EAD144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6FB544CE-52B1-4FB5-A9B7-97F56F5B6577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9758867A-956B-46A9-957E-C982289BAB97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31DAAB55-9A54-4498-B7F7-7B36FCAF94E0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93F73334-2DBA-40CC-8C29-021386BDE9AA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8F0E2767-C42E-4AE7-A439-F53D2F2823B9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7F8928E2-1068-4FF6-AE2C-9CDA8B2A1923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5C86C9AF-7B54-4096-8868-C8107938D5DC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0B590F27-737F-4668-AF8B-0DA3519AAA46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C3DDA489-ACF1-4FD6-935C-C4C521A05BA9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126CB049-979E-46BD-AF54-C6650B4E3275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61650FB5-A382-4AAF-9703-4BCDD7453DB7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113E2C05-4891-4CFE-AAF9-19B58C27BB08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A4E4ED0C-3BC3-4C9A-AD9F-E6F78F327C30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6008722F-C034-4056-9AF2-71E0829A9044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3E56902F-A08E-4C98-B873-D402146FDB21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DA45E060-C514-424F-BAD5-4C0CF2BD24D9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71C5037C-C789-460A-9BAA-B30EFDA7FDD8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9C8EB57F-EDED-4AED-8915-2928280A8211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8EB21EF1-1034-4A7E-BA10-8DA279FFE46D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F71D73AD-0197-45EF-82F7-C3B0094F8003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7C894DAB-F53F-496D-8391-D0FC97EFE778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272348AF-16F0-4B8D-944C-5917F5B9B9A7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DD5640B6-9748-45AF-B3E4-5360EC3D8C27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F0B69A4F-A6AE-4000-84B5-B6ED993964BE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E0744CA5-29A8-43A4-B5A7-335F6B44C395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865493DA-F87E-4662-B0E3-4F9D33CC89AF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47EC85B2-9768-4A72-BB38-9C10CC8E73C1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3802B478-3E0E-45BB-92B4-8C6D2322CFDA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E0E5FD7F-2783-4525-8FF8-16B764A6B28D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20653846-228B-475F-AE6D-2284ABCED769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2ADD4C8B-8212-4347-A01C-0E36FB34CF47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D93A86B3-D820-437D-9530-72F85028335C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BFE362F4-8521-442D-A339-7CE1638548E6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25A4C49C-443B-4B3D-8C67-DFF9605FA202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C664A4E1-24AB-4DF6-AE79-2E762CDD17FE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0EDEB45D-1F0E-47CC-B033-5572AF017132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7130EBAD-CD99-45A8-946E-0249F94A81D0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C3693021-50BF-4501-B475-DEBCB4499EF4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1FC82BB2-325D-4DD6-8682-16EE10763B48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1B10E980-3FE9-46DF-98AB-EC16FBAAB739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99F88FD5-4F92-4EAB-A7BA-D8D039D5CB8F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7CE66C93-F179-4E2A-9055-F2D0E4A57202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AFF00C72-3C06-480E-B696-29D05AF71CB9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FDB8526D-2533-4191-9EB4-D58C9875636C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0EF9970A-2493-4FC1-8BF7-DF6AE973B353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EF4C7472-58E7-4B0F-9379-94FB1BF24632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1FEBB36F-DFE2-431B-ADF3-CBCEC842AED0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59069324-5615-4A40-983F-48428D84F9D6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5B18188B-B1CE-4F77-949B-C89783592E44}">
      <formula1>0</formula1>
      <formula2>10</formula2>
    </dataValidation>
    <dataValidation type="decimal" allowBlank="1" showInputMessage="1" showErrorMessage="1" errorTitle="Thông báo" error="Giá trị con điểm phải là số &gt;=0 và &lt;=10 " sqref="F50" xr:uid="{A78842DD-C19B-433F-869D-43DD9D53A15A}">
      <formula1>0</formula1>
      <formula2>10</formula2>
    </dataValidation>
    <dataValidation type="decimal" allowBlank="1" showInputMessage="1" showErrorMessage="1" errorTitle="Thông báo" error="Giá trị con điểm phải là số &gt;=0 và &lt;=10 " sqref="G50" xr:uid="{3341290C-61D1-40B2-AF36-ECB673E27C81}">
      <formula1>0</formula1>
      <formula2>10</formula2>
    </dataValidation>
    <dataValidation type="decimal" allowBlank="1" showInputMessage="1" showErrorMessage="1" errorTitle="Thông báo" error="Giá trị con điểm phải là số &gt;=0 và &lt;=10 " sqref="H50" xr:uid="{9D86C004-4260-47B6-A1DD-D547BF73E0FD}">
      <formula1>0</formula1>
      <formula2>10</formula2>
    </dataValidation>
    <dataValidation type="decimal" allowBlank="1" showInputMessage="1" showErrorMessage="1" errorTitle="Thông báo" error="Giá trị con điểm phải là số &gt;=0 và &lt;=10 " sqref="I50" xr:uid="{A0DA9D4F-E777-4A1D-A457-732C8D20CEF2}">
      <formula1>0</formula1>
      <formula2>10</formula2>
    </dataValidation>
    <dataValidation type="decimal" allowBlank="1" showInputMessage="1" showErrorMessage="1" errorTitle="Thông báo" error="Giá trị con điểm phải là số &gt;=0 và &lt;=10 " sqref="J50" xr:uid="{E3AD364F-B5C9-4CB5-A60B-92A78E27FD1E}">
      <formula1>0</formula1>
      <formula2>10</formula2>
    </dataValidation>
    <dataValidation type="decimal" allowBlank="1" showInputMessage="1" showErrorMessage="1" errorTitle="Thông báo" error="Giá trị con điểm phải là số &gt;=0 và &lt;=10 " sqref="K50" xr:uid="{A2320748-915C-4646-AE3E-7B641E2450E6}">
      <formula1>0</formula1>
      <formula2>10</formula2>
    </dataValidation>
    <dataValidation type="decimal" allowBlank="1" showInputMessage="1" showErrorMessage="1" errorTitle="Thông báo" error="Giá trị con điểm phải là số &gt;=0 và &lt;=10 " sqref="F51" xr:uid="{41B99774-F4BF-4DF7-B137-2B1109B90FC3}">
      <formula1>0</formula1>
      <formula2>10</formula2>
    </dataValidation>
    <dataValidation type="decimal" allowBlank="1" showInputMessage="1" showErrorMessage="1" errorTitle="Thông báo" error="Giá trị con điểm phải là số &gt;=0 và &lt;=10 " sqref="G51" xr:uid="{05F78EF4-C83E-41F9-B815-C1201B64E59D}">
      <formula1>0</formula1>
      <formula2>10</formula2>
    </dataValidation>
    <dataValidation type="decimal" allowBlank="1" showInputMessage="1" showErrorMessage="1" errorTitle="Thông báo" error="Giá trị con điểm phải là số &gt;=0 và &lt;=10 " sqref="H51" xr:uid="{88EE8819-3210-40C0-87BA-6CCD0CC3F1DC}">
      <formula1>0</formula1>
      <formula2>10</formula2>
    </dataValidation>
    <dataValidation type="decimal" allowBlank="1" showInputMessage="1" showErrorMessage="1" errorTitle="Thông báo" error="Giá trị con điểm phải là số &gt;=0 và &lt;=10 " sqref="I51" xr:uid="{D07EABA7-1530-408B-9578-5DFFFDEBE4FE}">
      <formula1>0</formula1>
      <formula2>10</formula2>
    </dataValidation>
    <dataValidation type="decimal" allowBlank="1" showInputMessage="1" showErrorMessage="1" errorTitle="Thông báo" error="Giá trị con điểm phải là số &gt;=0 và &lt;=10 " sqref="J51" xr:uid="{2F046B4B-5E41-440A-AE8B-E055F4B97C99}">
      <formula1>0</formula1>
      <formula2>10</formula2>
    </dataValidation>
    <dataValidation type="decimal" allowBlank="1" showInputMessage="1" showErrorMessage="1" errorTitle="Thông báo" error="Giá trị con điểm phải là số &gt;=0 và &lt;=10 " sqref="K51" xr:uid="{43C57D4B-7746-4D4C-BE4E-3EA3EC6D1D41}">
      <formula1>0</formula1>
      <formula2>10</formula2>
    </dataValidation>
    <dataValidation type="decimal" allowBlank="1" showInputMessage="1" showErrorMessage="1" errorTitle="Thông báo" error="Giá trị con điểm phải là số &gt;=0 và &lt;=10 " sqref="F52" xr:uid="{DA7446C7-5238-4FB3-923A-0CD90DE0B409}">
      <formula1>0</formula1>
      <formula2>10</formula2>
    </dataValidation>
    <dataValidation type="decimal" allowBlank="1" showInputMessage="1" showErrorMessage="1" errorTitle="Thông báo" error="Giá trị con điểm phải là số &gt;=0 và &lt;=10 " sqref="G52" xr:uid="{C3E624CE-03C2-4979-BBB4-96B39749D387}">
      <formula1>0</formula1>
      <formula2>10</formula2>
    </dataValidation>
    <dataValidation type="decimal" allowBlank="1" showInputMessage="1" showErrorMessage="1" errorTitle="Thông báo" error="Giá trị con điểm phải là số &gt;=0 và &lt;=10 " sqref="H52" xr:uid="{E1345E6F-2339-485C-BF23-FCFE131DFA96}">
      <formula1>0</formula1>
      <formula2>10</formula2>
    </dataValidation>
    <dataValidation type="decimal" allowBlank="1" showInputMessage="1" showErrorMessage="1" errorTitle="Thông báo" error="Giá trị con điểm phải là số &gt;=0 và &lt;=10 " sqref="I52" xr:uid="{D2A9A62B-6528-4970-87D6-3DA3CACF43E7}">
      <formula1>0</formula1>
      <formula2>10</formula2>
    </dataValidation>
    <dataValidation type="decimal" allowBlank="1" showInputMessage="1" showErrorMessage="1" errorTitle="Thông báo" error="Giá trị con điểm phải là số &gt;=0 và &lt;=10 " sqref="J52" xr:uid="{922C5AEF-7B79-4555-87C6-E34614D34420}">
      <formula1>0</formula1>
      <formula2>10</formula2>
    </dataValidation>
    <dataValidation type="decimal" allowBlank="1" showInputMessage="1" showErrorMessage="1" errorTitle="Thông báo" error="Giá trị con điểm phải là số &gt;=0 và &lt;=10 " sqref="K52" xr:uid="{67EFB44E-8B78-4DF8-B341-2BA6AF2F4326}">
      <formula1>0</formula1>
      <formula2>10</formula2>
    </dataValidation>
    <dataValidation type="decimal" allowBlank="1" showInputMessage="1" showErrorMessage="1" errorTitle="Thông báo" error="Giá trị con điểm phải là số &gt;=0 và &lt;=10 " sqref="F53" xr:uid="{69507103-8D4A-4C69-955B-F72EB0A6ACDE}">
      <formula1>0</formula1>
      <formula2>10</formula2>
    </dataValidation>
    <dataValidation type="decimal" allowBlank="1" showInputMessage="1" showErrorMessage="1" errorTitle="Thông báo" error="Giá trị con điểm phải là số &gt;=0 và &lt;=10 " sqref="G53" xr:uid="{EFBE6A93-392C-4891-A2EA-0DD71CAB4E39}">
      <formula1>0</formula1>
      <formula2>10</formula2>
    </dataValidation>
    <dataValidation type="decimal" allowBlank="1" showInputMessage="1" showErrorMessage="1" errorTitle="Thông báo" error="Giá trị con điểm phải là số &gt;=0 và &lt;=10 " sqref="H53" xr:uid="{7DD7B638-E66A-4DA3-902D-499AF7F4B3C6}">
      <formula1>0</formula1>
      <formula2>10</formula2>
    </dataValidation>
    <dataValidation type="decimal" allowBlank="1" showInputMessage="1" showErrorMessage="1" errorTitle="Thông báo" error="Giá trị con điểm phải là số &gt;=0 và &lt;=10 " sqref="I53" xr:uid="{C9F12580-42E7-4960-9CF2-2C1EB755D00B}">
      <formula1>0</formula1>
      <formula2>10</formula2>
    </dataValidation>
    <dataValidation type="decimal" allowBlank="1" showInputMessage="1" showErrorMessage="1" errorTitle="Thông báo" error="Giá trị con điểm phải là số &gt;=0 và &lt;=10 " sqref="J53" xr:uid="{16917F6A-B17F-45F8-BA2B-0EBE058A41F6}">
      <formula1>0</formula1>
      <formula2>10</formula2>
    </dataValidation>
    <dataValidation type="decimal" allowBlank="1" showInputMessage="1" showErrorMessage="1" errorTitle="Thông báo" error="Giá trị con điểm phải là số &gt;=0 và &lt;=10 " sqref="K53" xr:uid="{8008EA97-85EC-4199-A33F-0CF3D4D7686F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32E5-46A0-46C6-9C0F-CE32874CE99D}">
  <dimension ref="A1:AK65536"/>
  <sheetViews>
    <sheetView showRuler="0" zoomScaleNormal="100" workbookViewId="0">
      <selection activeCell="D55" sqref="D55:J59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849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2304672438</v>
      </c>
      <c r="C8" s="24" t="s">
        <v>850</v>
      </c>
      <c r="D8" s="22" t="s">
        <v>24</v>
      </c>
      <c r="E8" s="13" t="s">
        <v>851</v>
      </c>
      <c r="F8" s="13">
        <v>9</v>
      </c>
      <c r="G8" s="13">
        <v>9.5</v>
      </c>
      <c r="H8" s="13"/>
      <c r="I8" s="16"/>
      <c r="J8" s="16">
        <v>10</v>
      </c>
      <c r="K8" s="16">
        <v>9.5</v>
      </c>
      <c r="L8" s="18">
        <f t="shared" ref="L8:L53" si="0">IF((COUNT(F8:I8)+COUNT(J8:J8)*2+COUNT(K8:K8)*3),ROUND((SUM(F8:I8)+SUM(J8:J8)*2+SUM(K8:K8)*3)/(COUNT(F8:I8)+COUNT(J8:J8)*2+COUNT(K8:K8)*3),1),"")</f>
        <v>9.6</v>
      </c>
      <c r="M8" s="16" t="s">
        <v>22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2304672436</v>
      </c>
      <c r="C9" s="24" t="s">
        <v>100</v>
      </c>
      <c r="D9" s="22" t="s">
        <v>24</v>
      </c>
      <c r="E9" s="13" t="s">
        <v>852</v>
      </c>
      <c r="F9" s="13">
        <v>8</v>
      </c>
      <c r="G9" s="13">
        <v>9</v>
      </c>
      <c r="H9" s="13"/>
      <c r="I9" s="16"/>
      <c r="J9" s="16">
        <v>10</v>
      </c>
      <c r="K9" s="16">
        <v>9.5</v>
      </c>
      <c r="L9" s="18">
        <f t="shared" si="0"/>
        <v>9.4</v>
      </c>
      <c r="M9" s="16" t="s">
        <v>22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2304672439</v>
      </c>
      <c r="C10" s="24" t="s">
        <v>853</v>
      </c>
      <c r="D10" s="22" t="s">
        <v>854</v>
      </c>
      <c r="E10" s="13" t="s">
        <v>855</v>
      </c>
      <c r="F10" s="13">
        <v>9</v>
      </c>
      <c r="G10" s="13">
        <v>8.5</v>
      </c>
      <c r="H10" s="13"/>
      <c r="I10" s="16"/>
      <c r="J10" s="16">
        <v>10</v>
      </c>
      <c r="K10" s="16">
        <v>10</v>
      </c>
      <c r="L10" s="18">
        <f t="shared" si="0"/>
        <v>9.6</v>
      </c>
      <c r="M10" s="16" t="s">
        <v>22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2304672442</v>
      </c>
      <c r="C11" s="24" t="s">
        <v>856</v>
      </c>
      <c r="D11" s="22" t="s">
        <v>31</v>
      </c>
      <c r="E11" s="13" t="s">
        <v>857</v>
      </c>
      <c r="F11" s="13">
        <v>9</v>
      </c>
      <c r="G11" s="13">
        <v>9.5</v>
      </c>
      <c r="H11" s="13"/>
      <c r="I11" s="16"/>
      <c r="J11" s="16">
        <v>10</v>
      </c>
      <c r="K11" s="16">
        <v>10</v>
      </c>
      <c r="L11" s="18">
        <f t="shared" si="0"/>
        <v>9.8000000000000007</v>
      </c>
      <c r="M11" s="16" t="s">
        <v>22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2304672449</v>
      </c>
      <c r="C12" s="25" t="s">
        <v>858</v>
      </c>
      <c r="D12" s="23" t="s">
        <v>35</v>
      </c>
      <c r="E12" s="15" t="s">
        <v>73</v>
      </c>
      <c r="F12" s="15">
        <v>10</v>
      </c>
      <c r="G12" s="15">
        <v>10</v>
      </c>
      <c r="H12" s="15"/>
      <c r="I12" s="17"/>
      <c r="J12" s="17">
        <v>10</v>
      </c>
      <c r="K12" s="17">
        <v>10</v>
      </c>
      <c r="L12" s="19">
        <f t="shared" si="0"/>
        <v>10</v>
      </c>
      <c r="M12" s="17" t="s">
        <v>22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2304672451</v>
      </c>
      <c r="C13" s="24" t="s">
        <v>859</v>
      </c>
      <c r="D13" s="22" t="s">
        <v>35</v>
      </c>
      <c r="E13" s="13" t="s">
        <v>860</v>
      </c>
      <c r="F13" s="13">
        <v>9</v>
      </c>
      <c r="G13" s="13">
        <v>9.5</v>
      </c>
      <c r="H13" s="13"/>
      <c r="I13" s="16"/>
      <c r="J13" s="16">
        <v>10</v>
      </c>
      <c r="K13" s="16">
        <v>10</v>
      </c>
      <c r="L13" s="18">
        <f t="shared" si="0"/>
        <v>9.8000000000000007</v>
      </c>
      <c r="M13" s="16" t="s">
        <v>22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2304672522</v>
      </c>
      <c r="C14" s="24" t="s">
        <v>861</v>
      </c>
      <c r="D14" s="22" t="s">
        <v>365</v>
      </c>
      <c r="E14" s="13" t="s">
        <v>862</v>
      </c>
      <c r="F14" s="13">
        <v>8</v>
      </c>
      <c r="G14" s="13">
        <v>8.5</v>
      </c>
      <c r="H14" s="13"/>
      <c r="I14" s="16"/>
      <c r="J14" s="16">
        <v>9.5</v>
      </c>
      <c r="K14" s="16">
        <v>8.5</v>
      </c>
      <c r="L14" s="18">
        <f t="shared" si="0"/>
        <v>8.6999999999999993</v>
      </c>
      <c r="M14" s="16" t="s">
        <v>22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2304672444</v>
      </c>
      <c r="C15" s="24" t="s">
        <v>863</v>
      </c>
      <c r="D15" s="22" t="s">
        <v>540</v>
      </c>
      <c r="E15" s="13" t="s">
        <v>864</v>
      </c>
      <c r="F15" s="13">
        <v>8</v>
      </c>
      <c r="G15" s="13">
        <v>8.5</v>
      </c>
      <c r="H15" s="13"/>
      <c r="I15" s="16"/>
      <c r="J15" s="16">
        <v>10</v>
      </c>
      <c r="K15" s="16">
        <v>7.5</v>
      </c>
      <c r="L15" s="18">
        <f t="shared" si="0"/>
        <v>8.4</v>
      </c>
      <c r="M15" s="16" t="s">
        <v>22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2304672453</v>
      </c>
      <c r="C16" s="24" t="s">
        <v>865</v>
      </c>
      <c r="D16" s="22" t="s">
        <v>866</v>
      </c>
      <c r="E16" s="13" t="s">
        <v>867</v>
      </c>
      <c r="F16" s="13">
        <v>10</v>
      </c>
      <c r="G16" s="13">
        <v>9</v>
      </c>
      <c r="H16" s="13"/>
      <c r="I16" s="16"/>
      <c r="J16" s="16">
        <v>10</v>
      </c>
      <c r="K16" s="16">
        <v>7.5</v>
      </c>
      <c r="L16" s="18">
        <f t="shared" si="0"/>
        <v>8.8000000000000007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2304672456</v>
      </c>
      <c r="C17" s="25" t="s">
        <v>868</v>
      </c>
      <c r="D17" s="23" t="s">
        <v>171</v>
      </c>
      <c r="E17" s="15" t="s">
        <v>869</v>
      </c>
      <c r="F17" s="15">
        <v>9</v>
      </c>
      <c r="G17" s="15">
        <v>10</v>
      </c>
      <c r="H17" s="15"/>
      <c r="I17" s="17"/>
      <c r="J17" s="17">
        <v>9.5</v>
      </c>
      <c r="K17" s="17">
        <v>9.5</v>
      </c>
      <c r="L17" s="19">
        <f t="shared" si="0"/>
        <v>9.5</v>
      </c>
      <c r="M17" s="17" t="s">
        <v>22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2304672458</v>
      </c>
      <c r="C18" s="24" t="s">
        <v>870</v>
      </c>
      <c r="D18" s="22" t="s">
        <v>52</v>
      </c>
      <c r="E18" s="13" t="s">
        <v>871</v>
      </c>
      <c r="F18" s="13">
        <v>9</v>
      </c>
      <c r="G18" s="13">
        <v>9</v>
      </c>
      <c r="H18" s="13"/>
      <c r="I18" s="16"/>
      <c r="J18" s="16">
        <v>10</v>
      </c>
      <c r="K18" s="16">
        <v>9.5</v>
      </c>
      <c r="L18" s="18">
        <f t="shared" si="0"/>
        <v>9.5</v>
      </c>
      <c r="M18" s="16" t="s">
        <v>22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2304672523</v>
      </c>
      <c r="C19" s="24" t="s">
        <v>582</v>
      </c>
      <c r="D19" s="22" t="s">
        <v>59</v>
      </c>
      <c r="E19" s="13" t="s">
        <v>872</v>
      </c>
      <c r="F19" s="13">
        <v>10</v>
      </c>
      <c r="G19" s="13">
        <v>10</v>
      </c>
      <c r="H19" s="13"/>
      <c r="I19" s="16"/>
      <c r="J19" s="16">
        <v>9.5</v>
      </c>
      <c r="K19" s="16">
        <v>9.5</v>
      </c>
      <c r="L19" s="18">
        <f t="shared" si="0"/>
        <v>9.6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2304672466</v>
      </c>
      <c r="C20" s="24" t="s">
        <v>364</v>
      </c>
      <c r="D20" s="22" t="s">
        <v>190</v>
      </c>
      <c r="E20" s="13" t="s">
        <v>873</v>
      </c>
      <c r="F20" s="13">
        <v>10</v>
      </c>
      <c r="G20" s="13">
        <v>10</v>
      </c>
      <c r="H20" s="13"/>
      <c r="I20" s="16"/>
      <c r="J20" s="16">
        <v>10</v>
      </c>
      <c r="K20" s="16">
        <v>9.5</v>
      </c>
      <c r="L20" s="18">
        <f t="shared" si="0"/>
        <v>9.8000000000000007</v>
      </c>
      <c r="M20" s="16" t="s">
        <v>22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2304672464</v>
      </c>
      <c r="C21" s="24" t="s">
        <v>874</v>
      </c>
      <c r="D21" s="22" t="s">
        <v>190</v>
      </c>
      <c r="E21" s="13" t="s">
        <v>789</v>
      </c>
      <c r="F21" s="13">
        <v>7</v>
      </c>
      <c r="G21" s="13">
        <v>8.5</v>
      </c>
      <c r="H21" s="13"/>
      <c r="I21" s="16"/>
      <c r="J21" s="16">
        <v>10</v>
      </c>
      <c r="K21" s="16">
        <v>10</v>
      </c>
      <c r="L21" s="18">
        <f t="shared" si="0"/>
        <v>9.4</v>
      </c>
      <c r="M21" s="16" t="s">
        <v>42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2304672469</v>
      </c>
      <c r="C22" s="25" t="s">
        <v>875</v>
      </c>
      <c r="D22" s="23" t="s">
        <v>194</v>
      </c>
      <c r="E22" s="15" t="s">
        <v>876</v>
      </c>
      <c r="F22" s="15">
        <v>10</v>
      </c>
      <c r="G22" s="15">
        <v>10</v>
      </c>
      <c r="H22" s="15"/>
      <c r="I22" s="17"/>
      <c r="J22" s="17">
        <v>10</v>
      </c>
      <c r="K22" s="17">
        <v>8.5</v>
      </c>
      <c r="L22" s="19">
        <f t="shared" si="0"/>
        <v>9.4</v>
      </c>
      <c r="M22" s="17" t="s">
        <v>22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2304672467</v>
      </c>
      <c r="C23" s="24" t="s">
        <v>877</v>
      </c>
      <c r="D23" s="22" t="s">
        <v>194</v>
      </c>
      <c r="E23" s="13" t="s">
        <v>878</v>
      </c>
      <c r="F23" s="13">
        <v>8</v>
      </c>
      <c r="G23" s="13">
        <v>8</v>
      </c>
      <c r="H23" s="13"/>
      <c r="I23" s="16"/>
      <c r="J23" s="16">
        <v>10</v>
      </c>
      <c r="K23" s="16">
        <v>8</v>
      </c>
      <c r="L23" s="18">
        <f t="shared" si="0"/>
        <v>8.6</v>
      </c>
      <c r="M23" s="16" t="s">
        <v>22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2304672462</v>
      </c>
      <c r="C24" s="24" t="s">
        <v>879</v>
      </c>
      <c r="D24" s="22" t="s">
        <v>880</v>
      </c>
      <c r="E24" s="13" t="s">
        <v>881</v>
      </c>
      <c r="F24" s="13">
        <v>8</v>
      </c>
      <c r="G24" s="13">
        <v>10</v>
      </c>
      <c r="H24" s="13"/>
      <c r="I24" s="16"/>
      <c r="J24" s="16">
        <v>10</v>
      </c>
      <c r="K24" s="16">
        <v>9</v>
      </c>
      <c r="L24" s="18">
        <f t="shared" si="0"/>
        <v>9.3000000000000007</v>
      </c>
      <c r="M24" s="16" t="s">
        <v>22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2304672470</v>
      </c>
      <c r="C25" s="24" t="s">
        <v>882</v>
      </c>
      <c r="D25" s="22" t="s">
        <v>883</v>
      </c>
      <c r="E25" s="13" t="s">
        <v>884</v>
      </c>
      <c r="F25" s="13">
        <v>9</v>
      </c>
      <c r="G25" s="13">
        <v>10</v>
      </c>
      <c r="H25" s="13"/>
      <c r="I25" s="16"/>
      <c r="J25" s="16">
        <v>10</v>
      </c>
      <c r="K25" s="16">
        <v>8</v>
      </c>
      <c r="L25" s="18">
        <f t="shared" si="0"/>
        <v>9</v>
      </c>
      <c r="M25" s="16" t="s">
        <v>22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2304672473</v>
      </c>
      <c r="C26" s="24" t="s">
        <v>885</v>
      </c>
      <c r="D26" s="22" t="s">
        <v>72</v>
      </c>
      <c r="E26" s="13" t="s">
        <v>886</v>
      </c>
      <c r="F26" s="13">
        <v>10</v>
      </c>
      <c r="G26" s="13">
        <v>9</v>
      </c>
      <c r="H26" s="13"/>
      <c r="I26" s="16"/>
      <c r="J26" s="16">
        <v>10</v>
      </c>
      <c r="K26" s="16">
        <v>8</v>
      </c>
      <c r="L26" s="18">
        <f t="shared" si="0"/>
        <v>9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2304672472</v>
      </c>
      <c r="C27" s="25" t="s">
        <v>887</v>
      </c>
      <c r="D27" s="23" t="s">
        <v>72</v>
      </c>
      <c r="E27" s="15" t="s">
        <v>888</v>
      </c>
      <c r="F27" s="15">
        <v>9</v>
      </c>
      <c r="G27" s="15">
        <v>8.5</v>
      </c>
      <c r="H27" s="15"/>
      <c r="I27" s="17"/>
      <c r="J27" s="17">
        <v>10</v>
      </c>
      <c r="K27" s="17">
        <v>10</v>
      </c>
      <c r="L27" s="19">
        <f t="shared" si="0"/>
        <v>9.6</v>
      </c>
      <c r="M27" s="17" t="s">
        <v>22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2304672475</v>
      </c>
      <c r="C28" s="24" t="s">
        <v>889</v>
      </c>
      <c r="D28" s="22" t="s">
        <v>72</v>
      </c>
      <c r="E28" s="13" t="s">
        <v>890</v>
      </c>
      <c r="F28" s="13">
        <v>10</v>
      </c>
      <c r="G28" s="13">
        <v>8.5</v>
      </c>
      <c r="H28" s="13"/>
      <c r="I28" s="16"/>
      <c r="J28" s="16">
        <v>9.5</v>
      </c>
      <c r="K28" s="16">
        <v>7.5</v>
      </c>
      <c r="L28" s="18">
        <f t="shared" si="0"/>
        <v>8.6</v>
      </c>
      <c r="M28" s="16" t="s">
        <v>22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2304672477</v>
      </c>
      <c r="C29" s="24" t="s">
        <v>891</v>
      </c>
      <c r="D29" s="22" t="s">
        <v>203</v>
      </c>
      <c r="E29" s="13" t="s">
        <v>892</v>
      </c>
      <c r="F29" s="13">
        <v>10</v>
      </c>
      <c r="G29" s="13">
        <v>10</v>
      </c>
      <c r="H29" s="13"/>
      <c r="I29" s="16"/>
      <c r="J29" s="16">
        <v>9.5</v>
      </c>
      <c r="K29" s="16">
        <v>10</v>
      </c>
      <c r="L29" s="18">
        <f t="shared" si="0"/>
        <v>9.9</v>
      </c>
      <c r="M29" s="16" t="s">
        <v>22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2304672482</v>
      </c>
      <c r="C30" s="24" t="s">
        <v>893</v>
      </c>
      <c r="D30" s="22" t="s">
        <v>90</v>
      </c>
      <c r="E30" s="13" t="s">
        <v>824</v>
      </c>
      <c r="F30" s="13">
        <v>8</v>
      </c>
      <c r="G30" s="13">
        <v>9</v>
      </c>
      <c r="H30" s="13"/>
      <c r="I30" s="16"/>
      <c r="J30" s="16">
        <v>10</v>
      </c>
      <c r="K30" s="16">
        <v>9</v>
      </c>
      <c r="L30" s="18">
        <f t="shared" si="0"/>
        <v>9.1</v>
      </c>
      <c r="M30" s="16" t="s">
        <v>22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2304672480</v>
      </c>
      <c r="C31" s="24" t="s">
        <v>894</v>
      </c>
      <c r="D31" s="22" t="s">
        <v>90</v>
      </c>
      <c r="E31" s="13" t="s">
        <v>774</v>
      </c>
      <c r="F31" s="13">
        <v>9</v>
      </c>
      <c r="G31" s="13">
        <v>9</v>
      </c>
      <c r="H31" s="13"/>
      <c r="I31" s="16"/>
      <c r="J31" s="16">
        <v>10</v>
      </c>
      <c r="K31" s="16">
        <v>10</v>
      </c>
      <c r="L31" s="18">
        <f t="shared" si="0"/>
        <v>9.6999999999999993</v>
      </c>
      <c r="M31" s="16" t="s">
        <v>22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2304672484</v>
      </c>
      <c r="C32" s="25" t="s">
        <v>895</v>
      </c>
      <c r="D32" s="23" t="s">
        <v>896</v>
      </c>
      <c r="E32" s="15" t="s">
        <v>897</v>
      </c>
      <c r="F32" s="15">
        <v>9</v>
      </c>
      <c r="G32" s="15">
        <v>9</v>
      </c>
      <c r="H32" s="15"/>
      <c r="I32" s="17"/>
      <c r="J32" s="17">
        <v>10</v>
      </c>
      <c r="K32" s="17">
        <v>10</v>
      </c>
      <c r="L32" s="19">
        <f t="shared" si="0"/>
        <v>9.6999999999999993</v>
      </c>
      <c r="M32" s="17" t="s">
        <v>22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2304672489</v>
      </c>
      <c r="C33" s="24" t="s">
        <v>898</v>
      </c>
      <c r="D33" s="22" t="s">
        <v>98</v>
      </c>
      <c r="E33" s="13" t="s">
        <v>899</v>
      </c>
      <c r="F33" s="13">
        <v>10</v>
      </c>
      <c r="G33" s="13">
        <v>9.5</v>
      </c>
      <c r="H33" s="13"/>
      <c r="I33" s="16"/>
      <c r="J33" s="16">
        <v>10</v>
      </c>
      <c r="K33" s="16">
        <v>9.5</v>
      </c>
      <c r="L33" s="18">
        <f t="shared" si="0"/>
        <v>9.6999999999999993</v>
      </c>
      <c r="M33" s="16" t="s">
        <v>22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2304672486</v>
      </c>
      <c r="C34" s="24" t="s">
        <v>900</v>
      </c>
      <c r="D34" s="22" t="s">
        <v>98</v>
      </c>
      <c r="E34" s="13" t="s">
        <v>738</v>
      </c>
      <c r="F34" s="13">
        <v>8</v>
      </c>
      <c r="G34" s="13">
        <v>9</v>
      </c>
      <c r="H34" s="13"/>
      <c r="I34" s="16"/>
      <c r="J34" s="16">
        <v>10</v>
      </c>
      <c r="K34" s="16">
        <v>9</v>
      </c>
      <c r="L34" s="18">
        <f t="shared" si="0"/>
        <v>9.1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2304672494</v>
      </c>
      <c r="C35" s="24" t="s">
        <v>901</v>
      </c>
      <c r="D35" s="22" t="s">
        <v>214</v>
      </c>
      <c r="E35" s="13" t="s">
        <v>902</v>
      </c>
      <c r="F35" s="13">
        <v>10</v>
      </c>
      <c r="G35" s="13">
        <v>9</v>
      </c>
      <c r="H35" s="13"/>
      <c r="I35" s="16"/>
      <c r="J35" s="16">
        <v>9.5</v>
      </c>
      <c r="K35" s="16">
        <v>9.5</v>
      </c>
      <c r="L35" s="18">
        <f t="shared" si="0"/>
        <v>9.5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2304672492</v>
      </c>
      <c r="C36" s="24" t="s">
        <v>903</v>
      </c>
      <c r="D36" s="22" t="s">
        <v>214</v>
      </c>
      <c r="E36" s="13" t="s">
        <v>904</v>
      </c>
      <c r="F36" s="13">
        <v>10</v>
      </c>
      <c r="G36" s="13">
        <v>8</v>
      </c>
      <c r="H36" s="13"/>
      <c r="I36" s="16"/>
      <c r="J36" s="16">
        <v>10</v>
      </c>
      <c r="K36" s="16">
        <v>9.5</v>
      </c>
      <c r="L36" s="18">
        <f t="shared" si="0"/>
        <v>9.5</v>
      </c>
      <c r="M36" s="16" t="s">
        <v>22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2304672496</v>
      </c>
      <c r="C37" s="25" t="s">
        <v>418</v>
      </c>
      <c r="D37" s="23" t="s">
        <v>111</v>
      </c>
      <c r="E37" s="15" t="s">
        <v>905</v>
      </c>
      <c r="F37" s="15">
        <v>9</v>
      </c>
      <c r="G37" s="15">
        <v>9</v>
      </c>
      <c r="H37" s="15"/>
      <c r="I37" s="17"/>
      <c r="J37" s="17">
        <v>9.5</v>
      </c>
      <c r="K37" s="17">
        <v>9</v>
      </c>
      <c r="L37" s="19">
        <f t="shared" si="0"/>
        <v>9.1</v>
      </c>
      <c r="M37" s="17" t="s">
        <v>22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2304672498</v>
      </c>
      <c r="C38" s="24" t="s">
        <v>906</v>
      </c>
      <c r="D38" s="22" t="s">
        <v>111</v>
      </c>
      <c r="E38" s="13" t="s">
        <v>451</v>
      </c>
      <c r="F38" s="13">
        <v>10</v>
      </c>
      <c r="G38" s="13">
        <v>10</v>
      </c>
      <c r="H38" s="13"/>
      <c r="I38" s="16"/>
      <c r="J38" s="16">
        <v>9.5</v>
      </c>
      <c r="K38" s="16">
        <v>9.5</v>
      </c>
      <c r="L38" s="18">
        <f t="shared" si="0"/>
        <v>9.6</v>
      </c>
      <c r="M38" s="16" t="s">
        <v>22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2304672500</v>
      </c>
      <c r="C39" s="24" t="s">
        <v>907</v>
      </c>
      <c r="D39" s="22" t="s">
        <v>221</v>
      </c>
      <c r="E39" s="13" t="s">
        <v>908</v>
      </c>
      <c r="F39" s="13">
        <v>8</v>
      </c>
      <c r="G39" s="13">
        <v>9.5</v>
      </c>
      <c r="H39" s="13"/>
      <c r="I39" s="16"/>
      <c r="J39" s="16">
        <v>10</v>
      </c>
      <c r="K39" s="16">
        <v>7</v>
      </c>
      <c r="L39" s="18">
        <f t="shared" si="0"/>
        <v>8.4</v>
      </c>
      <c r="M39" s="16" t="s">
        <v>22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2304672502</v>
      </c>
      <c r="C40" s="24" t="s">
        <v>909</v>
      </c>
      <c r="D40" s="22" t="s">
        <v>910</v>
      </c>
      <c r="E40" s="13" t="s">
        <v>911</v>
      </c>
      <c r="F40" s="13">
        <v>9</v>
      </c>
      <c r="G40" s="13">
        <v>9.5</v>
      </c>
      <c r="H40" s="13"/>
      <c r="I40" s="16"/>
      <c r="J40" s="16">
        <v>10</v>
      </c>
      <c r="K40" s="16">
        <v>10</v>
      </c>
      <c r="L40" s="18">
        <f t="shared" si="0"/>
        <v>9.8000000000000007</v>
      </c>
      <c r="M40" s="16" t="s">
        <v>22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2304672524</v>
      </c>
      <c r="C41" s="24" t="s">
        <v>912</v>
      </c>
      <c r="D41" s="22" t="s">
        <v>665</v>
      </c>
      <c r="E41" s="13" t="s">
        <v>913</v>
      </c>
      <c r="F41" s="13">
        <v>8</v>
      </c>
      <c r="G41" s="13">
        <v>10</v>
      </c>
      <c r="H41" s="13"/>
      <c r="I41" s="16"/>
      <c r="J41" s="16">
        <v>9.5</v>
      </c>
      <c r="K41" s="16">
        <v>7</v>
      </c>
      <c r="L41" s="18">
        <f t="shared" si="0"/>
        <v>8.3000000000000007</v>
      </c>
      <c r="M41" s="16" t="s">
        <v>22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2304672504</v>
      </c>
      <c r="C42" s="25" t="s">
        <v>914</v>
      </c>
      <c r="D42" s="23" t="s">
        <v>230</v>
      </c>
      <c r="E42" s="15" t="s">
        <v>804</v>
      </c>
      <c r="F42" s="15">
        <v>10</v>
      </c>
      <c r="G42" s="15">
        <v>10</v>
      </c>
      <c r="H42" s="15"/>
      <c r="I42" s="17"/>
      <c r="J42" s="17">
        <v>10</v>
      </c>
      <c r="K42" s="17">
        <v>10</v>
      </c>
      <c r="L42" s="19">
        <f t="shared" si="0"/>
        <v>10</v>
      </c>
      <c r="M42" s="17" t="s">
        <v>22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2304672512</v>
      </c>
      <c r="C43" s="24" t="s">
        <v>915</v>
      </c>
      <c r="D43" s="22" t="s">
        <v>671</v>
      </c>
      <c r="E43" s="13" t="s">
        <v>826</v>
      </c>
      <c r="F43" s="13">
        <v>8</v>
      </c>
      <c r="G43" s="13">
        <v>10</v>
      </c>
      <c r="H43" s="13"/>
      <c r="I43" s="16"/>
      <c r="J43" s="16">
        <v>10</v>
      </c>
      <c r="K43" s="16">
        <v>10</v>
      </c>
      <c r="L43" s="18">
        <f t="shared" si="0"/>
        <v>9.6999999999999993</v>
      </c>
      <c r="M43" s="16" t="s">
        <v>22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2304672514</v>
      </c>
      <c r="C44" s="24" t="s">
        <v>916</v>
      </c>
      <c r="D44" s="22" t="s">
        <v>238</v>
      </c>
      <c r="E44" s="13" t="s">
        <v>917</v>
      </c>
      <c r="F44" s="13">
        <v>9</v>
      </c>
      <c r="G44" s="13">
        <v>8.5</v>
      </c>
      <c r="H44" s="13"/>
      <c r="I44" s="16"/>
      <c r="J44" s="16">
        <v>9.5</v>
      </c>
      <c r="K44" s="16">
        <v>10</v>
      </c>
      <c r="L44" s="18">
        <f t="shared" si="0"/>
        <v>9.5</v>
      </c>
      <c r="M44" s="16" t="s">
        <v>22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2304672515</v>
      </c>
      <c r="C45" s="24" t="s">
        <v>918</v>
      </c>
      <c r="D45" s="22" t="s">
        <v>238</v>
      </c>
      <c r="E45" s="13" t="s">
        <v>839</v>
      </c>
      <c r="F45" s="13">
        <v>9</v>
      </c>
      <c r="G45" s="13">
        <v>9</v>
      </c>
      <c r="H45" s="13"/>
      <c r="I45" s="16"/>
      <c r="J45" s="16">
        <v>10</v>
      </c>
      <c r="K45" s="16">
        <v>10</v>
      </c>
      <c r="L45" s="18">
        <f t="shared" si="0"/>
        <v>9.6999999999999993</v>
      </c>
      <c r="M45" s="16" t="s">
        <v>22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2304672516</v>
      </c>
      <c r="C46" s="24" t="s">
        <v>919</v>
      </c>
      <c r="D46" s="22" t="s">
        <v>920</v>
      </c>
      <c r="E46" s="13" t="s">
        <v>921</v>
      </c>
      <c r="F46" s="13">
        <v>10</v>
      </c>
      <c r="G46" s="13">
        <v>9</v>
      </c>
      <c r="H46" s="13"/>
      <c r="I46" s="16"/>
      <c r="J46" s="16">
        <v>10</v>
      </c>
      <c r="K46" s="16">
        <v>10</v>
      </c>
      <c r="L46" s="18">
        <f t="shared" si="0"/>
        <v>9.9</v>
      </c>
      <c r="M46" s="16" t="s">
        <v>22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2304672517</v>
      </c>
      <c r="C47" s="25" t="s">
        <v>922</v>
      </c>
      <c r="D47" s="23" t="s">
        <v>241</v>
      </c>
      <c r="E47" s="15" t="s">
        <v>923</v>
      </c>
      <c r="F47" s="15">
        <v>9</v>
      </c>
      <c r="G47" s="15">
        <v>9.5</v>
      </c>
      <c r="H47" s="15"/>
      <c r="I47" s="17"/>
      <c r="J47" s="17">
        <v>10</v>
      </c>
      <c r="K47" s="17">
        <v>9.5</v>
      </c>
      <c r="L47" s="19">
        <f t="shared" si="0"/>
        <v>9.6</v>
      </c>
      <c r="M47" s="17" t="s">
        <v>22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2304672518</v>
      </c>
      <c r="C48" s="24" t="s">
        <v>924</v>
      </c>
      <c r="D48" s="22" t="s">
        <v>255</v>
      </c>
      <c r="E48" s="13" t="s">
        <v>925</v>
      </c>
      <c r="F48" s="13">
        <v>8</v>
      </c>
      <c r="G48" s="13">
        <v>9.5</v>
      </c>
      <c r="H48" s="13"/>
      <c r="I48" s="16"/>
      <c r="J48" s="16">
        <v>10</v>
      </c>
      <c r="K48" s="16">
        <v>7.5</v>
      </c>
      <c r="L48" s="18">
        <f t="shared" si="0"/>
        <v>8.6</v>
      </c>
      <c r="M48" s="16" t="s">
        <v>22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0">
        <v>42</v>
      </c>
      <c r="B49" s="13">
        <v>2304672519</v>
      </c>
      <c r="C49" s="24" t="s">
        <v>521</v>
      </c>
      <c r="D49" s="22" t="s">
        <v>926</v>
      </c>
      <c r="E49" s="13" t="s">
        <v>927</v>
      </c>
      <c r="F49" s="13">
        <v>8</v>
      </c>
      <c r="G49" s="13">
        <v>10</v>
      </c>
      <c r="H49" s="13"/>
      <c r="I49" s="16"/>
      <c r="J49" s="16">
        <v>9.5</v>
      </c>
      <c r="K49" s="16">
        <v>8.5</v>
      </c>
      <c r="L49" s="18">
        <f t="shared" si="0"/>
        <v>8.9</v>
      </c>
      <c r="M49" s="16" t="s">
        <v>22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20">
        <v>43</v>
      </c>
      <c r="B50" s="13">
        <v>2304672506</v>
      </c>
      <c r="C50" s="24" t="s">
        <v>928</v>
      </c>
      <c r="D50" s="22" t="s">
        <v>133</v>
      </c>
      <c r="E50" s="13" t="s">
        <v>929</v>
      </c>
      <c r="F50" s="13">
        <v>8</v>
      </c>
      <c r="G50" s="13">
        <v>10</v>
      </c>
      <c r="H50" s="13"/>
      <c r="I50" s="16"/>
      <c r="J50" s="16">
        <v>10</v>
      </c>
      <c r="K50" s="16">
        <v>10</v>
      </c>
      <c r="L50" s="18">
        <f t="shared" si="0"/>
        <v>9.6999999999999993</v>
      </c>
      <c r="M50" s="16" t="s">
        <v>22</v>
      </c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20">
        <v>44</v>
      </c>
      <c r="B51" s="13">
        <v>2304672508</v>
      </c>
      <c r="C51" s="24" t="s">
        <v>930</v>
      </c>
      <c r="D51" s="22" t="s">
        <v>931</v>
      </c>
      <c r="E51" s="13" t="s">
        <v>768</v>
      </c>
      <c r="F51" s="13">
        <v>10</v>
      </c>
      <c r="G51" s="13">
        <v>10</v>
      </c>
      <c r="H51" s="13"/>
      <c r="I51" s="16"/>
      <c r="J51" s="16">
        <v>10</v>
      </c>
      <c r="K51" s="16">
        <v>9</v>
      </c>
      <c r="L51" s="18">
        <f t="shared" si="0"/>
        <v>9.6</v>
      </c>
      <c r="M51" s="16" t="s">
        <v>22</v>
      </c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2.75" customHeight="1" x14ac:dyDescent="0.35">
      <c r="A52" s="21">
        <v>45</v>
      </c>
      <c r="B52" s="15">
        <v>2304672521</v>
      </c>
      <c r="C52" s="25" t="s">
        <v>932</v>
      </c>
      <c r="D52" s="23" t="s">
        <v>139</v>
      </c>
      <c r="E52" s="15" t="s">
        <v>754</v>
      </c>
      <c r="F52" s="15">
        <v>10</v>
      </c>
      <c r="G52" s="15">
        <v>10</v>
      </c>
      <c r="H52" s="15"/>
      <c r="I52" s="17"/>
      <c r="J52" s="17">
        <v>10</v>
      </c>
      <c r="K52" s="17">
        <v>10</v>
      </c>
      <c r="L52" s="19">
        <f t="shared" si="0"/>
        <v>10</v>
      </c>
      <c r="M52" s="17" t="s">
        <v>22</v>
      </c>
      <c r="N52" s="11"/>
      <c r="O52" s="11"/>
      <c r="P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2.75" customHeight="1" x14ac:dyDescent="0.35">
      <c r="A53" s="21">
        <v>46</v>
      </c>
      <c r="B53" s="15">
        <v>2304672520</v>
      </c>
      <c r="C53" s="25" t="s">
        <v>933</v>
      </c>
      <c r="D53" s="23" t="s">
        <v>139</v>
      </c>
      <c r="E53" s="15" t="s">
        <v>934</v>
      </c>
      <c r="F53" s="15">
        <v>9</v>
      </c>
      <c r="G53" s="15">
        <v>10</v>
      </c>
      <c r="H53" s="15"/>
      <c r="I53" s="17"/>
      <c r="J53" s="17">
        <v>10</v>
      </c>
      <c r="K53" s="17">
        <v>10</v>
      </c>
      <c r="L53" s="19">
        <f t="shared" si="0"/>
        <v>9.9</v>
      </c>
      <c r="M53" s="17" t="s">
        <v>22</v>
      </c>
      <c r="N53" s="11"/>
      <c r="O53" s="11"/>
      <c r="P53" s="1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ht="12.75" customHeight="1" x14ac:dyDescent="0.35">
      <c r="A54" s="39" t="s">
        <v>141</v>
      </c>
      <c r="B54" s="40"/>
      <c r="C54" s="41"/>
      <c r="D54" s="41"/>
      <c r="E54" s="41"/>
      <c r="F54" s="40"/>
      <c r="G54" s="40"/>
      <c r="H54" s="40"/>
      <c r="I54" s="40"/>
      <c r="J54" s="42"/>
      <c r="K54" s="8"/>
      <c r="L54" s="9"/>
      <c r="M54" s="10"/>
      <c r="N54" s="11"/>
      <c r="O54" s="11"/>
      <c r="P54" s="1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ht="12.75" customHeight="1" x14ac:dyDescent="0.35">
      <c r="A55" s="43"/>
      <c r="B55" s="33"/>
      <c r="C55" s="44"/>
      <c r="D55" s="45"/>
      <c r="E55" s="45"/>
      <c r="F55" s="46"/>
      <c r="G55" s="46"/>
      <c r="H55" s="46"/>
      <c r="I55" s="46"/>
      <c r="J55" s="47"/>
    </row>
    <row r="56" spans="1:37" ht="12.75" customHeight="1" x14ac:dyDescent="0.35">
      <c r="A56" s="48" t="s">
        <v>142</v>
      </c>
      <c r="B56" s="33"/>
      <c r="C56" s="44"/>
      <c r="D56" s="45" t="s">
        <v>143</v>
      </c>
      <c r="E56" s="45"/>
      <c r="F56" s="46" t="str">
        <f>TEXT(COUNTIF(L8:L53,"&gt;="&amp;Q56),"#0")</f>
        <v>46</v>
      </c>
      <c r="G56" s="46"/>
      <c r="H56" s="31" t="s">
        <v>144</v>
      </c>
      <c r="I56" s="46" t="str">
        <f>ROUND(F56/IF(COUNTIF(L8:L53,"&gt;=0")=0,1,COUNTIF(L8:L53,"&gt;=0")),4)*100&amp;"%"</f>
        <v>100%</v>
      </c>
      <c r="J56" s="47"/>
      <c r="Q56" s="26">
        <v>7.95</v>
      </c>
    </row>
    <row r="57" spans="1:37" ht="12.75" customHeight="1" x14ac:dyDescent="0.35">
      <c r="A57" s="43" t="s">
        <v>145</v>
      </c>
      <c r="B57" s="33"/>
      <c r="C57" s="44"/>
      <c r="D57" s="45" t="s">
        <v>146</v>
      </c>
      <c r="E57" s="45"/>
      <c r="F57" s="46" t="str">
        <f>TEXT(COUNTIF(L8:L53,"&gt;="&amp;Q57)-F56,"#0")</f>
        <v>0</v>
      </c>
      <c r="G57" s="46"/>
      <c r="H57" s="31" t="s">
        <v>144</v>
      </c>
      <c r="I57" s="46" t="str">
        <f>ROUND(F57/IF(COUNTIF(L8:L53,"&gt;=0")=0,1,COUNTIF(L8:L53,"&gt;=0")),4)*100&amp;"%"</f>
        <v>0%</v>
      </c>
      <c r="J57" s="47"/>
      <c r="Q57" s="26">
        <v>6.45</v>
      </c>
    </row>
    <row r="58" spans="1:37" ht="12.75" customHeight="1" x14ac:dyDescent="0.35">
      <c r="A58" s="27"/>
      <c r="D58" s="45" t="s">
        <v>147</v>
      </c>
      <c r="E58" s="45"/>
      <c r="F58" s="46" t="str">
        <f>TEXT(COUNTIF(L8:L53,"&gt;="&amp;Q58)-F57-F56,"#0")</f>
        <v>0</v>
      </c>
      <c r="G58" s="46"/>
      <c r="H58" s="31" t="s">
        <v>144</v>
      </c>
      <c r="I58" s="46" t="str">
        <f>ROUND(F58/IF(COUNTIF(L8:L53,"&gt;=0")=0,1,COUNTIF(L8:L53,"&gt;=0")),4)*100&amp;"%"</f>
        <v>0%</v>
      </c>
      <c r="J58" s="47"/>
      <c r="Q58" s="26">
        <v>4.95</v>
      </c>
    </row>
    <row r="59" spans="1:37" ht="12.75" customHeight="1" x14ac:dyDescent="0.35">
      <c r="A59" s="28"/>
      <c r="B59" s="29"/>
      <c r="C59" s="30"/>
      <c r="D59" s="49" t="s">
        <v>148</v>
      </c>
      <c r="E59" s="49"/>
      <c r="F59" s="50" t="str">
        <f>TEXT(COUNTIF(L8:L53,"&gt;=0")-F55-F56-F57-F58,"#0")</f>
        <v>0</v>
      </c>
      <c r="G59" s="50"/>
      <c r="H59" s="32" t="s">
        <v>144</v>
      </c>
      <c r="I59" s="50" t="str">
        <f>ROUND(F59/IF(COUNTIF(L8:L53,"&gt;=0")=0,1,COUNTIF(L8:L53,"&gt;=0")),4)*100&amp;"%"</f>
        <v>0%</v>
      </c>
      <c r="J59" s="51"/>
    </row>
    <row r="65536" ht="14.5" x14ac:dyDescent="0.35"/>
  </sheetData>
  <mergeCells count="32">
    <mergeCell ref="D58:E58"/>
    <mergeCell ref="F58:G58"/>
    <mergeCell ref="I58:J58"/>
    <mergeCell ref="D59:E59"/>
    <mergeCell ref="F59:G59"/>
    <mergeCell ref="I59:J59"/>
    <mergeCell ref="A54:J55"/>
    <mergeCell ref="A56:C56"/>
    <mergeCell ref="D56:E56"/>
    <mergeCell ref="F56:G56"/>
    <mergeCell ref="I56:J56"/>
    <mergeCell ref="A57:C57"/>
    <mergeCell ref="D57:E57"/>
    <mergeCell ref="F57:G57"/>
    <mergeCell ref="I57:J57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78">
    <dataValidation type="list" allowBlank="1" showInputMessage="1" showErrorMessage="1" errorTitle="Thông báo" error="Bạn phải nhập [Đạt] = d, Đ, đ, 1   [Chưa đạt] = c, CĐ, cđ, 2" sqref="C5" xr:uid="{55DF1FBF-5A90-4B11-BD35-BC7049524D77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CDE3114A-C0B1-469B-A345-C8A63ACB1987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D331E28D-AA16-4886-8DDE-CD7CA384E2E8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34740C9F-197D-492C-9522-3E990A359900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BA6C4C15-CCEF-4A6C-B362-A95389CF65B0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D2B7502C-A71B-4C4A-B7F6-B866BA49904D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DDA4205B-190A-4C22-95E8-3CA4E6ECED4C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7CD3E0AB-332B-4098-8E9D-2B375AA0F30B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9AA4EA5E-A739-413F-88EA-BC78D961C51D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F2062C83-032E-42CF-8E85-60A1B010BB20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1AFFB455-7F08-4AF3-9D31-3D324FFD6F54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C528A6E4-8E5F-458D-8AA5-46DE8DAAE8D1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C50A83AB-8C7A-47AE-B3BB-185CDAC83915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E2C37885-4ADA-42DA-B205-72C1EB17BAD0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9BEC0FA6-111E-44D4-B073-B1FD60441298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2026B36C-80E0-476B-818C-79FF904FD538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9671FB74-64DC-48C0-B14C-26133891EA4E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219A8657-3834-41C4-BC23-C773F8A232F9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0274BDE6-4DA1-4A24-BBE8-70014B9E23A4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48932F23-6FDD-43DA-B64D-7FF2C2CC4D69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8D41842D-89ED-431F-861F-B703366338E3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CFB65E1B-C8B7-468F-B40B-64E48D50F785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528E600E-698F-47D3-B1C0-95AE9B3F2BDD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AEDF905F-1073-4AB4-8862-A094FB4AE409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B1C15444-8022-48C6-8511-CCDF4EA9506C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58D897D1-ED7F-470E-A88C-62D0B8C5BF65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D86E0981-3594-47B9-93EF-6E7F28B8C157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5453A5C6-E1E5-4975-B864-B15D1755F732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8E9721A1-C622-44F7-9A24-9D5C856D0EB5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1D24679D-A647-412A-ABC0-ACD3DB6B3A31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F659AD28-EDEC-4F9E-91DA-B2A992531C8E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2043D9EB-3495-43DE-9E39-E88087384095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ED9CBDA3-F493-4DB9-8252-AFD2B7F3D33A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7022C39C-9201-4A55-94B0-030C12967CAA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A3CB4FC0-B75F-4E92-9DB2-BE653EB65D1F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B13547DA-7C21-463A-A065-944FDEC08CD3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E1DD7D36-AC9E-48AF-B303-26D26FF32FA1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F5FDDB63-38D1-4DEE-8683-806373EE199F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C0EEB099-DB7E-43A5-AEDB-4E2625C6CA93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55CDCE61-D272-4E86-BAC4-5032BDE8E3D1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35741568-2C70-461D-B15F-100B58224F27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75D03A1D-9285-4B3E-B3C6-17A433D9DA76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A0966F0F-6121-41FE-8B08-7DD918804C1D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96626BCE-9B01-476F-A194-368BA713B32C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F09DA6FF-FF61-4A36-8A93-2735135502FE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0EA6924A-9D8B-437F-8D90-E1D67376DC96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D3391CCC-C952-4E7A-82C0-0FECFFF44BC7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817D8E84-F1DB-4538-9ED3-3F32FBC97156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3B56B6B6-89E9-4638-BC0B-D2B54F39326E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F281E394-64D6-469B-8F5B-C173FBD0ABF8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47000A8E-3EC1-4613-B1DB-32ABA0565E4D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7B6EE912-C1A0-4E4D-8907-F69716AC3493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A2175FCC-033D-49D9-97E5-6BCB8280DE3A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2A9C2318-0192-4A84-80CE-0713FF2D8C35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D3F885BC-B706-41D8-A597-4BEFFC577CAF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6BE0A3ED-C1D6-48C4-A72B-5652243E04B5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D2525D58-686C-45CA-9DBD-4FB29DF6E851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D92BB7C6-A2B3-4F69-AD25-68EA3C974670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99BC9692-DDED-4351-8B6F-35C8E106DF26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AD6BC079-7848-4569-9A08-F3F224011E21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3BBED77A-5BA2-4B7F-A945-1E3A0C9AFA97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13777BAC-0104-40BE-86D6-607A7CA9F973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7FF2FB3E-FA42-4839-8DC2-14513722C38C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6013DE42-DE8D-46E8-B00D-8B82BCFE4EB8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D0D99083-C4A2-4DB2-B6D7-8BCC8BB3B935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6B3C785F-F947-4FB4-A7F5-A7FE0D0153BC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23083A18-CF64-4E79-BC71-E665404B9CD9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E3694DC0-CC76-40E6-A89F-A935910F7AC4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BA46C62F-9DE3-4CCB-9F89-415D76C07E7F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0984BA00-0C08-4807-BE25-0B667B1701B8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3BC26D15-83FC-44DA-870E-85AC2706F443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054D4D71-3D9A-4A94-AC35-EF3BB746D2E8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540CE577-CE49-48D2-B80A-EA8965FCC640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9E84F038-5290-4085-A107-5233EE3D5A24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4CB37022-A2B7-4F37-B67C-DEC40D9ED1EC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881B8E89-795E-40DB-996C-FF6B280F0012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D41C825C-F962-44C6-BB0F-418A93469C4A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8FAFEE44-1E10-487B-9DD8-0A5D2BA8F778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7C6E0EEA-9F06-4D6D-819F-DDE97CF33C52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9F2FD082-5EC9-4C6E-BC8C-D75FECD72892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8DDE43C6-4B88-4196-B9F1-0485858F2559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DF2283DF-0427-4FA1-B61A-D74050AF0653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915EE0E0-3140-411F-8189-BEB10B1F3724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0F26E5AE-2DB0-4313-BA21-D6510A2714E4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A14FA199-33BA-4283-BBD8-C46767CA689C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DC40E9CA-BA59-4F81-BC24-EA20EB37AB2A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D5157C75-F92F-42E3-BD90-45914CC4CB84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8D39EA4C-C6C7-45F4-9C23-4EE4904DC5AC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ACEB6BAC-53AE-49B8-BBCD-F69712521488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CD70E88B-87FF-495C-8B5A-BB2EA1A456F2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7BABEA0C-D8E6-460C-AF40-9C3066C21A3F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C0267FE8-EFEB-4BA2-AABB-AF6021CF5D6F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AD40D080-672B-4523-BE36-F355B5553CB8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B4D2B35C-C52B-461C-9EE4-FCBC07B27E53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8B93A7EB-63E5-4F67-878E-62B26EAA4E49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DB865ED7-5C6C-4A20-BA88-CE87E34EB44B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60895DC1-9094-4441-B240-8BFB98B152B7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7C3E1409-F57E-491B-AB7A-26431E192991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58A717BB-E95E-4B53-A69B-4194557E22D2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85DFCBB9-5E25-4754-847D-A7615CBE6798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E5ED278D-49C6-46CA-BFE9-E68A4AF29897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5CEEF551-861D-4528-B97A-426802662B89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030AECC8-F479-496E-9111-1ECBAB0D3C35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502E5DAA-E390-4EC3-AE7F-9C6BDBA424D5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AE951977-99B8-446B-A70C-C9BC82080D9C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89846FA2-3C1B-48C3-BC02-91A36CE30BA4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CF8FF068-2068-454B-9146-9441861F63E3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3BCAAD5A-8A68-4A57-B5B6-AF5A4ACDE053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E9645CA1-8D6A-4D6B-8E77-34D1736FB6BC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CCC646AE-5208-4C3D-A32B-1001AE2102F1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3D03E757-413E-461C-A018-0FCB5A38CCA5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D7F88607-104B-4F43-9829-55FB0977C5A5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ABEFD598-FC4E-4565-A70A-BC27874E8420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1F5FE1B3-7213-45C7-A7E2-EC47397FE893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6B48925A-1B97-45A8-BE1B-1103AD4C3E9F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0BD6DBCB-8E68-4443-BF10-D5317360336C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4356F51D-856A-4738-B01F-B7B4A2C4E4B7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C0110EE7-A50B-492D-BE5C-B62814D2AD77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FCDF665D-93D9-422F-B3DA-FD6F68DDBBD6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88D6EB6A-9983-4668-A685-921F39E192CA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1680475B-40B0-4696-A3EE-38387AF43FDD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4746DD7F-8812-480C-9F01-3B893F58E128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D73F1772-D066-4C16-B332-BBCEB943F8E2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2FB4C5C0-0BE4-46A0-B10A-311987C4CD89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10F3D0B3-0594-4AE2-A51C-49BDBCD331CC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37E5107E-62E8-44A2-876E-A82BEC9728F4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46E9BC37-3C17-4A02-8E84-1B768DEFE21F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48224A9A-79D0-4B5B-8B6D-E8B9E8060FF5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C7D392CF-CC4C-41AE-902F-A122239962CD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A1F6275B-0900-4E6A-9DB0-BCFC0E56AF59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7918FB24-012F-4EE2-8C40-33764CAD6717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23F64256-D5D2-44B6-852F-629972CACBF1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F18D0439-45FC-400D-B782-BFE0E7043295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6AC3E085-670C-479C-9D5F-FA2D128ABD54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A67E884A-9A66-4DAA-B285-E7903AF2B2E7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40B1408F-4219-466C-AB93-A29359626982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42E37392-9098-4DEA-9C39-8B8B188EED37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25A536CA-51B9-4EBE-A84D-DF01103FB2E3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937E6EF1-5E30-4999-832D-6C74638FC509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DD3866D3-8B86-41C1-86CB-886A7642FA79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FF21E30F-353E-4D4F-A9A2-0B6AA19C4E64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01BC7727-04C0-4199-B2CF-80B0523DEB24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19DD2AEC-8074-4B1E-8A3A-56657CDB16ED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C0B94021-CBA2-466A-928D-05DEAF633360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38B483E1-F9C8-4D40-9F63-4CB140773E74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9E52F835-956C-4DFE-B86E-189F87FC32F9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EC8EA86C-6EE4-4F45-B8D3-EF54E66AC41D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360770D5-0585-4AA8-92B9-D4238C4B7987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A94647FD-B930-4752-9F7E-EF968AB168FB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7E866304-83B9-445D-A819-27728B85CC70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12497373-5AA9-4403-AFEF-EE82BE695101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C7D1F5D9-D81A-47D2-A9F6-31A3EF0C5424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8327FA45-1501-488E-B386-DFA538A13BC9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C46DF745-3680-457C-81A2-D9E13CA5C5F1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9CC251A4-0895-41E0-893D-187A22F17C2D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D965ED97-BD2D-4D51-8C76-EAA5D8C70703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FD7E4EEA-46A9-4DA3-BEA3-B03083107189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0680591B-DB0E-4011-B986-97B887EE2BF8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3FB5C8F5-C8C0-4AA4-BDD7-01A5E2209452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6CCA5526-D5CF-488F-B3AD-232057FA3D2F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BDF09BEB-319F-447F-AFF9-795F8D1521E5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2EECCB4F-688A-44C4-B44A-544AB810DD67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C186A21D-4D62-4879-A13E-C14DF28ADEFB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AB73F814-7E07-4F15-B888-BC7285484397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C469D214-6939-4E13-A8EE-CC1E85CCE3ED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7961AAF4-7520-4B65-81D5-D34DF6222B9D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7F2E2CC1-0E3C-43E4-9D34-59E80DE415B5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BD6915B9-CBB8-4F6F-A5BA-0E4465E76542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F7F78492-F669-4FA2-8AAD-B4A24EBDC7DC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26AA81B3-5863-4D4F-B912-7E6C419AA34A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7C6D502E-5FDD-4576-BA19-00C2AEA9AE3D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47F2F622-5D69-4531-805F-54145F7FD5B3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87B91CC0-8454-4A06-9588-544C93F2E28B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19395798-76A3-46A6-A595-BD55CBFD6B8F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D6043624-0504-4863-AF95-F1C395BE2D4F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A5A8213F-CB77-466F-A662-BCA98B152F32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AC11CD0A-1ECE-47BA-8AA9-26AE7961D9F4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44DDB2D1-C164-4651-8BFF-64C6CC60A23C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E64A7497-35E7-41EB-ABB6-DAD851C6DB07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DEF1608C-90FB-4180-92CC-728C2B7946CB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CDAF02AF-EBCB-43CC-AB3A-2264513B43F3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438EA36D-D5B4-4935-8EE5-D987B9825528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3026FB3D-47F0-477A-A956-3E3E3CE33CEB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B08B5E82-4810-4DB1-AE9A-F186992FB1C9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DD1E3C4A-2348-4CA0-A9AC-9D95B11BF634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93BED4DC-9AE2-41DE-8572-83FCF1203C40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4A65898B-315E-4F0B-A9CE-AA7E0178BB9B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D050D857-853C-478E-8476-DB139D34B5C1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3A218B40-7678-4BCE-8CDB-861D84B1E4B5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5C4797BC-B2F1-4B06-84AE-2ADA6A084F16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5B83C14C-6B9C-4FC2-B4E7-89DA713DE445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E8CA9800-75E1-4496-9B56-7A0618EEB33D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695839BB-1C7E-417B-8781-EE61CE5FD9EE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54F16C3F-7B80-439F-AF27-241C9337F52E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B5F4E9F9-7781-443B-8997-A1FAF0AD7A6C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85861529-E146-44B3-9C89-8ED12204EAE4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094C8C86-B93C-406B-9C81-A949462360FE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C3B6F5F4-424E-43EA-AFC5-F19502435BA1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D12F7E72-262E-4C8E-925B-4F3C4A06A210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ED1052FF-71B5-4CD3-A7AC-0B8DAB36C041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E23733AC-84ED-4060-AA9D-BA9CE75C4F08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2F7E0BD1-F986-4938-B033-0FDD1F7E5176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ABBE207A-F619-4008-AE24-C3D357194C43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5E1F315D-43EF-42BB-B5E9-FA31BC728CFB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100697CB-B558-4178-9C69-A6D5C1F4BA7D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C241A970-C5CC-453F-9E1E-FB41A6B44B60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32CFCD6C-C294-4020-B29E-3C25DD72B299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47F42E38-97B7-4DD8-9B06-4798F8B61243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2D53E77D-E558-4E53-B587-7F7F4FA82A00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D56F84C1-A264-446C-BCC6-3144A630416D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1B7FB40A-BECD-467B-B425-5346074513A5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E835D241-5DB0-41D2-9917-D575A445929F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E4BF1EA9-703D-4296-86D6-8DA6ECE2B68A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4DE613D5-B811-4E9C-A020-82ED9672FB4D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3F94E518-A336-4F0B-8533-420C3797CDA0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0BB3B900-40B8-409B-B6E8-7E7B57C21E52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C42AB50B-B7B8-42E6-91C4-52176F9C86B2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42F5FB8A-ABE4-4FEF-B2F7-2E070D6D07CC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A6108DC6-1AC2-4076-9311-FC1DE93087EF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52331D73-DC34-4B30-9E15-FB1B9382B4E6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84DD1615-B8DC-42B0-8E3B-F23200C399A3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1E05EB35-A4A2-40EB-AEBC-CB6C2A29BF78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B8B89754-5FA1-4E51-89B5-60CA911E9691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8A267859-1ADD-4BAD-AAA2-D29D9FF57895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F05AFA0A-72AE-44D5-91BC-02AF96E0044D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9DD8D24D-E240-4B2F-8C9E-1E93692C34A6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26611F52-B289-4302-A2C4-77CD0A7AE5DF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5FE00C9E-411F-4FCA-AC27-3A16FCA2DA5D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348B9174-22C8-4D68-8D0A-30E0D0124BA8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6749693F-1354-4A2C-9F44-D84DF2A11973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48690E58-7288-446C-896C-BA7EB4347F14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AAB96FFF-30A2-431B-82D8-A7C30BD66250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E4BF8834-98FB-4177-B8EF-CA7695A6C9AC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E750408A-351A-4710-AC69-54F97BC3A921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99C138CE-13EB-41C8-8CFE-D662BF4D4BE9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154F0B12-FD6A-46DD-847E-409C8FE22D17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301FC9EC-18CD-44AE-A40E-ADF652ECA37E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17900F9C-5C05-4E96-80B0-AD2052371DC6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20BAB47A-F310-402B-96E8-5D4DC147B735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3039C2EA-EC0C-4652-A5AB-E29DF926B102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ED2E40BA-C7D4-4B0C-8909-63A97E16169F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599905FF-9A95-4CB2-BAE3-E74EB9934EB7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4172C765-062C-475C-BAC2-471289D04B47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8175AC80-F1A4-4EBC-9964-67F32066FCC4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371C2E7F-F326-456B-AECA-D9740CB79087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7E44C32F-83C8-494F-BC12-040FFCE4F9C1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BF536564-62DA-4F7C-AF91-962A9C73788B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4DD3FFB3-0C59-4615-87F5-CA968BEDC7C9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04CB825F-B297-48C4-A8DF-767CBF33EE0A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C9842910-936C-40C8-867D-F2219CA40751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FCC58F13-AC1F-4C9F-AD99-2330533A31A3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C033FA0F-EBE3-4591-A225-C8F2E5E731E2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1B07A3ED-9AA4-4BAA-BAD9-964366EA03CD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A504DB9B-4875-497B-8950-F50FE1BDFFF4}">
      <formula1>0</formula1>
      <formula2>10</formula2>
    </dataValidation>
    <dataValidation type="decimal" allowBlank="1" showInputMessage="1" showErrorMessage="1" errorTitle="Thông báo" error="Giá trị con điểm phải là số &gt;=0 và &lt;=10 " sqref="F50" xr:uid="{51BB29CF-2F4A-4BF8-89FB-0C9DDF49178F}">
      <formula1>0</formula1>
      <formula2>10</formula2>
    </dataValidation>
    <dataValidation type="decimal" allowBlank="1" showInputMessage="1" showErrorMessage="1" errorTitle="Thông báo" error="Giá trị con điểm phải là số &gt;=0 và &lt;=10 " sqref="G50" xr:uid="{25953CD7-2E6F-4EB6-A0D9-E9A8DA3C2422}">
      <formula1>0</formula1>
      <formula2>10</formula2>
    </dataValidation>
    <dataValidation type="decimal" allowBlank="1" showInputMessage="1" showErrorMessage="1" errorTitle="Thông báo" error="Giá trị con điểm phải là số &gt;=0 và &lt;=10 " sqref="H50" xr:uid="{8D742ADA-D68E-4835-AD2C-927789588506}">
      <formula1>0</formula1>
      <formula2>10</formula2>
    </dataValidation>
    <dataValidation type="decimal" allowBlank="1" showInputMessage="1" showErrorMessage="1" errorTitle="Thông báo" error="Giá trị con điểm phải là số &gt;=0 và &lt;=10 " sqref="I50" xr:uid="{6A722993-314D-4450-8F42-75E5478D519A}">
      <formula1>0</formula1>
      <formula2>10</formula2>
    </dataValidation>
    <dataValidation type="decimal" allowBlank="1" showInputMessage="1" showErrorMessage="1" errorTitle="Thông báo" error="Giá trị con điểm phải là số &gt;=0 và &lt;=10 " sqref="J50" xr:uid="{9985BB98-A578-44DE-AC35-600B128606FE}">
      <formula1>0</formula1>
      <formula2>10</formula2>
    </dataValidation>
    <dataValidation type="decimal" allowBlank="1" showInputMessage="1" showErrorMessage="1" errorTitle="Thông báo" error="Giá trị con điểm phải là số &gt;=0 và &lt;=10 " sqref="K50" xr:uid="{BEB24B59-0963-485C-BEA8-D358C84642CF}">
      <formula1>0</formula1>
      <formula2>10</formula2>
    </dataValidation>
    <dataValidation type="decimal" allowBlank="1" showInputMessage="1" showErrorMessage="1" errorTitle="Thông báo" error="Giá trị con điểm phải là số &gt;=0 và &lt;=10 " sqref="F51" xr:uid="{0BC53414-4816-44DA-AE6B-2A63C37C60DF}">
      <formula1>0</formula1>
      <formula2>10</formula2>
    </dataValidation>
    <dataValidation type="decimal" allowBlank="1" showInputMessage="1" showErrorMessage="1" errorTitle="Thông báo" error="Giá trị con điểm phải là số &gt;=0 và &lt;=10 " sqref="G51" xr:uid="{A71E7D7F-999E-43AD-9F5B-3E183909188A}">
      <formula1>0</formula1>
      <formula2>10</formula2>
    </dataValidation>
    <dataValidation type="decimal" allowBlank="1" showInputMessage="1" showErrorMessage="1" errorTitle="Thông báo" error="Giá trị con điểm phải là số &gt;=0 và &lt;=10 " sqref="H51" xr:uid="{3914750D-E845-418F-8468-36BE4CB146B7}">
      <formula1>0</formula1>
      <formula2>10</formula2>
    </dataValidation>
    <dataValidation type="decimal" allowBlank="1" showInputMessage="1" showErrorMessage="1" errorTitle="Thông báo" error="Giá trị con điểm phải là số &gt;=0 và &lt;=10 " sqref="I51" xr:uid="{3844FA87-8665-4989-8289-6B1B6FC9EEA2}">
      <formula1>0</formula1>
      <formula2>10</formula2>
    </dataValidation>
    <dataValidation type="decimal" allowBlank="1" showInputMessage="1" showErrorMessage="1" errorTitle="Thông báo" error="Giá trị con điểm phải là số &gt;=0 và &lt;=10 " sqref="J51" xr:uid="{59AC99FE-9D22-44D9-98AE-EF016B864D62}">
      <formula1>0</formula1>
      <formula2>10</formula2>
    </dataValidation>
    <dataValidation type="decimal" allowBlank="1" showInputMessage="1" showErrorMessage="1" errorTitle="Thông báo" error="Giá trị con điểm phải là số &gt;=0 và &lt;=10 " sqref="K51" xr:uid="{1680022D-A701-4612-80DC-9349237E01E6}">
      <formula1>0</formula1>
      <formula2>10</formula2>
    </dataValidation>
    <dataValidation type="decimal" allowBlank="1" showInputMessage="1" showErrorMessage="1" errorTitle="Thông báo" error="Giá trị con điểm phải là số &gt;=0 và &lt;=10 " sqref="F52" xr:uid="{C8006365-C657-4276-95CF-E60D75D0BB55}">
      <formula1>0</formula1>
      <formula2>10</formula2>
    </dataValidation>
    <dataValidation type="decimal" allowBlank="1" showInputMessage="1" showErrorMessage="1" errorTitle="Thông báo" error="Giá trị con điểm phải là số &gt;=0 và &lt;=10 " sqref="G52" xr:uid="{BC7B2272-E3BA-409E-8634-B982507B619D}">
      <formula1>0</formula1>
      <formula2>10</formula2>
    </dataValidation>
    <dataValidation type="decimal" allowBlank="1" showInputMessage="1" showErrorMessage="1" errorTitle="Thông báo" error="Giá trị con điểm phải là số &gt;=0 và &lt;=10 " sqref="H52" xr:uid="{CED524C1-DEE0-4D14-942D-D7A3695F32FC}">
      <formula1>0</formula1>
      <formula2>10</formula2>
    </dataValidation>
    <dataValidation type="decimal" allowBlank="1" showInputMessage="1" showErrorMessage="1" errorTitle="Thông báo" error="Giá trị con điểm phải là số &gt;=0 và &lt;=10 " sqref="I52" xr:uid="{0F4B5CF2-AB03-4892-B593-5133A8279726}">
      <formula1>0</formula1>
      <formula2>10</formula2>
    </dataValidation>
    <dataValidation type="decimal" allowBlank="1" showInputMessage="1" showErrorMessage="1" errorTitle="Thông báo" error="Giá trị con điểm phải là số &gt;=0 và &lt;=10 " sqref="J52" xr:uid="{AC43531A-DFD0-495C-9859-8AA964D4BB85}">
      <formula1>0</formula1>
      <formula2>10</formula2>
    </dataValidation>
    <dataValidation type="decimal" allowBlank="1" showInputMessage="1" showErrorMessage="1" errorTitle="Thông báo" error="Giá trị con điểm phải là số &gt;=0 và &lt;=10 " sqref="K52" xr:uid="{DD49D9AB-1588-4557-8AF3-602CD74E10D5}">
      <formula1>0</formula1>
      <formula2>10</formula2>
    </dataValidation>
    <dataValidation type="decimal" allowBlank="1" showInputMessage="1" showErrorMessage="1" errorTitle="Thông báo" error="Giá trị con điểm phải là số &gt;=0 và &lt;=10 " sqref="F53" xr:uid="{5F39C0EC-CD5E-4B4F-A21C-38E7B0BE9A42}">
      <formula1>0</formula1>
      <formula2>10</formula2>
    </dataValidation>
    <dataValidation type="decimal" allowBlank="1" showInputMessage="1" showErrorMessage="1" errorTitle="Thông báo" error="Giá trị con điểm phải là số &gt;=0 và &lt;=10 " sqref="G53" xr:uid="{4426F8EB-123D-43DD-999E-FBE1A7C45F55}">
      <formula1>0</formula1>
      <formula2>10</formula2>
    </dataValidation>
    <dataValidation type="decimal" allowBlank="1" showInputMessage="1" showErrorMessage="1" errorTitle="Thông báo" error="Giá trị con điểm phải là số &gt;=0 và &lt;=10 " sqref="H53" xr:uid="{E196C780-6288-4316-BDB1-A244221A99BB}">
      <formula1>0</formula1>
      <formula2>10</formula2>
    </dataValidation>
    <dataValidation type="decimal" allowBlank="1" showInputMessage="1" showErrorMessage="1" errorTitle="Thông báo" error="Giá trị con điểm phải là số &gt;=0 và &lt;=10 " sqref="I53" xr:uid="{14D3F7D9-BEE3-4C69-9426-67D54E2A7B2B}">
      <formula1>0</formula1>
      <formula2>10</formula2>
    </dataValidation>
    <dataValidation type="decimal" allowBlank="1" showInputMessage="1" showErrorMessage="1" errorTitle="Thông báo" error="Giá trị con điểm phải là số &gt;=0 và &lt;=10 " sqref="J53" xr:uid="{3823ECDD-EFFA-4028-AD19-2E343553E5CC}">
      <formula1>0</formula1>
      <formula2>10</formula2>
    </dataValidation>
    <dataValidation type="decimal" allowBlank="1" showInputMessage="1" showErrorMessage="1" errorTitle="Thông báo" error="Giá trị con điểm phải là số &gt;=0 và &lt;=10 " sqref="K53" xr:uid="{745766A8-1C82-4219-96D6-853AF6372CC8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A82B-EB6D-4A2C-9ECB-6B3BF934FD0B}">
  <dimension ref="A1:AK65536"/>
  <sheetViews>
    <sheetView showRuler="0" zoomScaleNormal="100" workbookViewId="0">
      <selection activeCell="D55" sqref="D55:J59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935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2304663093</v>
      </c>
      <c r="C8" s="24" t="s">
        <v>936</v>
      </c>
      <c r="D8" s="22" t="s">
        <v>24</v>
      </c>
      <c r="E8" s="13" t="s">
        <v>937</v>
      </c>
      <c r="F8" s="13">
        <v>9</v>
      </c>
      <c r="G8" s="13">
        <v>8.5</v>
      </c>
      <c r="H8" s="13"/>
      <c r="I8" s="16"/>
      <c r="J8" s="16">
        <v>10</v>
      </c>
      <c r="K8" s="16">
        <v>10</v>
      </c>
      <c r="L8" s="18">
        <f t="shared" ref="L8:L53" si="0">IF((COUNT(F8:I8)+COUNT(J8:J8)*2+COUNT(K8:K8)*3),ROUND((SUM(F8:I8)+SUM(J8:J8)*2+SUM(K8:K8)*3)/(COUNT(F8:I8)+COUNT(J8:J8)*2+COUNT(K8:K8)*3),1),"")</f>
        <v>9.6</v>
      </c>
      <c r="M8" s="16" t="s">
        <v>22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2304663091</v>
      </c>
      <c r="C9" s="24" t="s">
        <v>938</v>
      </c>
      <c r="D9" s="22" t="s">
        <v>24</v>
      </c>
      <c r="E9" s="13" t="s">
        <v>939</v>
      </c>
      <c r="F9" s="13">
        <v>10</v>
      </c>
      <c r="G9" s="13">
        <v>10</v>
      </c>
      <c r="H9" s="13"/>
      <c r="I9" s="16"/>
      <c r="J9" s="16">
        <v>10</v>
      </c>
      <c r="K9" s="16">
        <v>10</v>
      </c>
      <c r="L9" s="18">
        <f t="shared" si="0"/>
        <v>10</v>
      </c>
      <c r="M9" s="16" t="s">
        <v>22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2304663095</v>
      </c>
      <c r="C10" s="24" t="s">
        <v>940</v>
      </c>
      <c r="D10" s="22" t="s">
        <v>157</v>
      </c>
      <c r="E10" s="13" t="s">
        <v>941</v>
      </c>
      <c r="F10" s="13">
        <v>7</v>
      </c>
      <c r="G10" s="13">
        <v>8.5</v>
      </c>
      <c r="H10" s="13"/>
      <c r="I10" s="16"/>
      <c r="J10" s="16">
        <v>10</v>
      </c>
      <c r="K10" s="16">
        <v>5</v>
      </c>
      <c r="L10" s="18">
        <f t="shared" si="0"/>
        <v>7.2</v>
      </c>
      <c r="M10" s="16" t="s">
        <v>42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2304663097</v>
      </c>
      <c r="C11" s="24" t="s">
        <v>942</v>
      </c>
      <c r="D11" s="22" t="s">
        <v>162</v>
      </c>
      <c r="E11" s="13" t="s">
        <v>768</v>
      </c>
      <c r="F11" s="13">
        <v>8</v>
      </c>
      <c r="G11" s="13">
        <v>6</v>
      </c>
      <c r="H11" s="13"/>
      <c r="I11" s="16"/>
      <c r="J11" s="16">
        <v>10</v>
      </c>
      <c r="K11" s="16">
        <v>8</v>
      </c>
      <c r="L11" s="18">
        <f t="shared" si="0"/>
        <v>8.3000000000000007</v>
      </c>
      <c r="M11" s="16" t="s">
        <v>22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2304663102</v>
      </c>
      <c r="C12" s="25" t="s">
        <v>943</v>
      </c>
      <c r="D12" s="23" t="s">
        <v>944</v>
      </c>
      <c r="E12" s="15" t="s">
        <v>945</v>
      </c>
      <c r="F12" s="15">
        <v>10</v>
      </c>
      <c r="G12" s="15">
        <v>10</v>
      </c>
      <c r="H12" s="15"/>
      <c r="I12" s="17"/>
      <c r="J12" s="17">
        <v>10</v>
      </c>
      <c r="K12" s="17">
        <v>10</v>
      </c>
      <c r="L12" s="19">
        <f t="shared" si="0"/>
        <v>10</v>
      </c>
      <c r="M12" s="17" t="s">
        <v>22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2304663104</v>
      </c>
      <c r="C13" s="24" t="s">
        <v>946</v>
      </c>
      <c r="D13" s="22" t="s">
        <v>35</v>
      </c>
      <c r="E13" s="13" t="s">
        <v>869</v>
      </c>
      <c r="F13" s="13">
        <v>6</v>
      </c>
      <c r="G13" s="13">
        <v>8</v>
      </c>
      <c r="H13" s="13"/>
      <c r="I13" s="16"/>
      <c r="J13" s="16">
        <v>10</v>
      </c>
      <c r="K13" s="16">
        <v>7</v>
      </c>
      <c r="L13" s="18">
        <f t="shared" si="0"/>
        <v>7.9</v>
      </c>
      <c r="M13" s="16" t="s">
        <v>33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2304663106</v>
      </c>
      <c r="C14" s="24" t="s">
        <v>947</v>
      </c>
      <c r="D14" s="22" t="s">
        <v>147</v>
      </c>
      <c r="E14" s="13" t="s">
        <v>948</v>
      </c>
      <c r="F14" s="13">
        <v>9</v>
      </c>
      <c r="G14" s="13">
        <v>7</v>
      </c>
      <c r="H14" s="13"/>
      <c r="I14" s="16"/>
      <c r="J14" s="16">
        <v>10</v>
      </c>
      <c r="K14" s="16">
        <v>7.5</v>
      </c>
      <c r="L14" s="18">
        <f t="shared" si="0"/>
        <v>8.4</v>
      </c>
      <c r="M14" s="16" t="s">
        <v>22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2304663108</v>
      </c>
      <c r="C15" s="24" t="s">
        <v>949</v>
      </c>
      <c r="D15" s="22" t="s">
        <v>950</v>
      </c>
      <c r="E15" s="13" t="s">
        <v>951</v>
      </c>
      <c r="F15" s="13">
        <v>7</v>
      </c>
      <c r="G15" s="13">
        <v>8</v>
      </c>
      <c r="H15" s="13"/>
      <c r="I15" s="16"/>
      <c r="J15" s="16">
        <v>10</v>
      </c>
      <c r="K15" s="16">
        <v>8.5</v>
      </c>
      <c r="L15" s="18">
        <f t="shared" si="0"/>
        <v>8.6</v>
      </c>
      <c r="M15" s="16" t="s">
        <v>42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2304663110</v>
      </c>
      <c r="C16" s="24" t="s">
        <v>952</v>
      </c>
      <c r="D16" s="22" t="s">
        <v>770</v>
      </c>
      <c r="E16" s="13" t="s">
        <v>953</v>
      </c>
      <c r="F16" s="13">
        <v>10</v>
      </c>
      <c r="G16" s="13">
        <v>9.5</v>
      </c>
      <c r="H16" s="13"/>
      <c r="I16" s="16"/>
      <c r="J16" s="16">
        <v>10</v>
      </c>
      <c r="K16" s="16">
        <v>8.5</v>
      </c>
      <c r="L16" s="18">
        <f t="shared" si="0"/>
        <v>9.3000000000000007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2304663112</v>
      </c>
      <c r="C17" s="25" t="s">
        <v>61</v>
      </c>
      <c r="D17" s="23" t="s">
        <v>624</v>
      </c>
      <c r="E17" s="15" t="s">
        <v>954</v>
      </c>
      <c r="F17" s="15">
        <v>9</v>
      </c>
      <c r="G17" s="15">
        <v>8.5</v>
      </c>
      <c r="H17" s="15"/>
      <c r="I17" s="17"/>
      <c r="J17" s="17">
        <v>10</v>
      </c>
      <c r="K17" s="17">
        <v>7.5</v>
      </c>
      <c r="L17" s="19">
        <f t="shared" si="0"/>
        <v>8.6</v>
      </c>
      <c r="M17" s="17" t="s">
        <v>22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2304702078</v>
      </c>
      <c r="C18" s="24" t="s">
        <v>955</v>
      </c>
      <c r="D18" s="22" t="s">
        <v>50</v>
      </c>
      <c r="E18" s="13" t="s">
        <v>956</v>
      </c>
      <c r="F18" s="13">
        <v>10</v>
      </c>
      <c r="G18" s="13">
        <v>10</v>
      </c>
      <c r="H18" s="13"/>
      <c r="I18" s="16"/>
      <c r="J18" s="16">
        <v>10</v>
      </c>
      <c r="K18" s="16">
        <v>6.5</v>
      </c>
      <c r="L18" s="18">
        <f t="shared" si="0"/>
        <v>8.5</v>
      </c>
      <c r="M18" s="16" t="s">
        <v>22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2304663116</v>
      </c>
      <c r="C19" s="24" t="s">
        <v>957</v>
      </c>
      <c r="D19" s="22" t="s">
        <v>50</v>
      </c>
      <c r="E19" s="13" t="s">
        <v>958</v>
      </c>
      <c r="F19" s="13">
        <v>9</v>
      </c>
      <c r="G19" s="13">
        <v>9.5</v>
      </c>
      <c r="H19" s="13"/>
      <c r="I19" s="16"/>
      <c r="J19" s="16">
        <v>10</v>
      </c>
      <c r="K19" s="16">
        <v>6.5</v>
      </c>
      <c r="L19" s="18">
        <f t="shared" si="0"/>
        <v>8.3000000000000007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2304663114</v>
      </c>
      <c r="C20" s="24" t="s">
        <v>471</v>
      </c>
      <c r="D20" s="22" t="s">
        <v>50</v>
      </c>
      <c r="E20" s="13" t="s">
        <v>959</v>
      </c>
      <c r="F20" s="13">
        <v>10</v>
      </c>
      <c r="G20" s="13">
        <v>8.5</v>
      </c>
      <c r="H20" s="13"/>
      <c r="I20" s="16"/>
      <c r="J20" s="16">
        <v>10</v>
      </c>
      <c r="K20" s="16">
        <v>5.5</v>
      </c>
      <c r="L20" s="18">
        <f t="shared" si="0"/>
        <v>7.9</v>
      </c>
      <c r="M20" s="16" t="s">
        <v>22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2304663118</v>
      </c>
      <c r="C21" s="24" t="s">
        <v>960</v>
      </c>
      <c r="D21" s="22" t="s">
        <v>961</v>
      </c>
      <c r="E21" s="13" t="s">
        <v>962</v>
      </c>
      <c r="F21" s="13">
        <v>10</v>
      </c>
      <c r="G21" s="13">
        <v>7</v>
      </c>
      <c r="H21" s="13"/>
      <c r="I21" s="16"/>
      <c r="J21" s="16">
        <v>10</v>
      </c>
      <c r="K21" s="16">
        <v>5.5</v>
      </c>
      <c r="L21" s="18">
        <f t="shared" si="0"/>
        <v>7.6</v>
      </c>
      <c r="M21" s="16" t="s">
        <v>22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2304663121</v>
      </c>
      <c r="C22" s="25" t="s">
        <v>55</v>
      </c>
      <c r="D22" s="23" t="s">
        <v>468</v>
      </c>
      <c r="E22" s="15" t="s">
        <v>963</v>
      </c>
      <c r="F22" s="15">
        <v>10</v>
      </c>
      <c r="G22" s="15">
        <v>9.5</v>
      </c>
      <c r="H22" s="15"/>
      <c r="I22" s="17"/>
      <c r="J22" s="17">
        <v>10</v>
      </c>
      <c r="K22" s="17">
        <v>9.5</v>
      </c>
      <c r="L22" s="19">
        <f t="shared" si="0"/>
        <v>9.6999999999999993</v>
      </c>
      <c r="M22" s="17" t="s">
        <v>22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2304663123</v>
      </c>
      <c r="C23" s="24" t="s">
        <v>964</v>
      </c>
      <c r="D23" s="22" t="s">
        <v>965</v>
      </c>
      <c r="E23" s="13" t="s">
        <v>966</v>
      </c>
      <c r="F23" s="13">
        <v>8</v>
      </c>
      <c r="G23" s="13">
        <v>8.5</v>
      </c>
      <c r="H23" s="13"/>
      <c r="I23" s="16"/>
      <c r="J23" s="16">
        <v>10</v>
      </c>
      <c r="K23" s="16">
        <v>5</v>
      </c>
      <c r="L23" s="18">
        <f t="shared" si="0"/>
        <v>7.4</v>
      </c>
      <c r="M23" s="16" t="s">
        <v>22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2304663125</v>
      </c>
      <c r="C24" s="24" t="s">
        <v>967</v>
      </c>
      <c r="D24" s="22" t="s">
        <v>717</v>
      </c>
      <c r="E24" s="13" t="s">
        <v>968</v>
      </c>
      <c r="F24" s="13">
        <v>8</v>
      </c>
      <c r="G24" s="13">
        <v>8.5</v>
      </c>
      <c r="H24" s="13"/>
      <c r="I24" s="16"/>
      <c r="J24" s="16">
        <v>10</v>
      </c>
      <c r="K24" s="16">
        <v>8</v>
      </c>
      <c r="L24" s="18">
        <f t="shared" si="0"/>
        <v>8.6</v>
      </c>
      <c r="M24" s="16" t="s">
        <v>22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2304663127</v>
      </c>
      <c r="C25" s="24" t="s">
        <v>859</v>
      </c>
      <c r="D25" s="22" t="s">
        <v>190</v>
      </c>
      <c r="E25" s="13" t="s">
        <v>969</v>
      </c>
      <c r="F25" s="13">
        <v>9</v>
      </c>
      <c r="G25" s="13">
        <v>7</v>
      </c>
      <c r="H25" s="13"/>
      <c r="I25" s="16"/>
      <c r="J25" s="16">
        <v>10</v>
      </c>
      <c r="K25" s="16">
        <v>6.5</v>
      </c>
      <c r="L25" s="18">
        <f t="shared" si="0"/>
        <v>7.9</v>
      </c>
      <c r="M25" s="16" t="s">
        <v>22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2304663126</v>
      </c>
      <c r="C26" s="24" t="s">
        <v>970</v>
      </c>
      <c r="D26" s="22" t="s">
        <v>69</v>
      </c>
      <c r="E26" s="13" t="s">
        <v>971</v>
      </c>
      <c r="F26" s="13">
        <v>10</v>
      </c>
      <c r="G26" s="13">
        <v>10</v>
      </c>
      <c r="H26" s="13"/>
      <c r="I26" s="16"/>
      <c r="J26" s="16">
        <v>10</v>
      </c>
      <c r="K26" s="16">
        <v>10</v>
      </c>
      <c r="L26" s="18">
        <f t="shared" si="0"/>
        <v>10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2304663128</v>
      </c>
      <c r="C27" s="25" t="s">
        <v>972</v>
      </c>
      <c r="D27" s="23" t="s">
        <v>568</v>
      </c>
      <c r="E27" s="15" t="s">
        <v>973</v>
      </c>
      <c r="F27" s="15">
        <v>10</v>
      </c>
      <c r="G27" s="15">
        <v>10</v>
      </c>
      <c r="H27" s="15"/>
      <c r="I27" s="17"/>
      <c r="J27" s="17">
        <v>10</v>
      </c>
      <c r="K27" s="17">
        <v>10</v>
      </c>
      <c r="L27" s="19">
        <f t="shared" si="0"/>
        <v>10</v>
      </c>
      <c r="M27" s="17" t="s">
        <v>22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2304663130</v>
      </c>
      <c r="C28" s="24" t="s">
        <v>454</v>
      </c>
      <c r="D28" s="22" t="s">
        <v>305</v>
      </c>
      <c r="E28" s="13" t="s">
        <v>923</v>
      </c>
      <c r="F28" s="13">
        <v>10</v>
      </c>
      <c r="G28" s="13">
        <v>10</v>
      </c>
      <c r="H28" s="13"/>
      <c r="I28" s="16"/>
      <c r="J28" s="16">
        <v>10</v>
      </c>
      <c r="K28" s="16">
        <v>10</v>
      </c>
      <c r="L28" s="18">
        <f t="shared" si="0"/>
        <v>10</v>
      </c>
      <c r="M28" s="16" t="s">
        <v>22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2304663131</v>
      </c>
      <c r="C29" s="24" t="s">
        <v>974</v>
      </c>
      <c r="D29" s="22" t="s">
        <v>487</v>
      </c>
      <c r="E29" s="13" t="s">
        <v>368</v>
      </c>
      <c r="F29" s="13">
        <v>10</v>
      </c>
      <c r="G29" s="13">
        <v>10</v>
      </c>
      <c r="H29" s="13"/>
      <c r="I29" s="16"/>
      <c r="J29" s="16">
        <v>10</v>
      </c>
      <c r="K29" s="16">
        <v>10</v>
      </c>
      <c r="L29" s="18">
        <f t="shared" si="0"/>
        <v>10</v>
      </c>
      <c r="M29" s="16" t="s">
        <v>22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2304663132</v>
      </c>
      <c r="C30" s="24" t="s">
        <v>975</v>
      </c>
      <c r="D30" s="22" t="s">
        <v>87</v>
      </c>
      <c r="E30" s="13" t="s">
        <v>876</v>
      </c>
      <c r="F30" s="13">
        <v>10</v>
      </c>
      <c r="G30" s="13">
        <v>9.5</v>
      </c>
      <c r="H30" s="13"/>
      <c r="I30" s="16"/>
      <c r="J30" s="16">
        <v>10</v>
      </c>
      <c r="K30" s="16">
        <v>10</v>
      </c>
      <c r="L30" s="18">
        <f t="shared" si="0"/>
        <v>9.9</v>
      </c>
      <c r="M30" s="16" t="s">
        <v>22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2304663157</v>
      </c>
      <c r="C31" s="24" t="s">
        <v>976</v>
      </c>
      <c r="D31" s="22" t="s">
        <v>90</v>
      </c>
      <c r="E31" s="13" t="s">
        <v>977</v>
      </c>
      <c r="F31" s="13">
        <v>9</v>
      </c>
      <c r="G31" s="13">
        <v>10</v>
      </c>
      <c r="H31" s="13"/>
      <c r="I31" s="16"/>
      <c r="J31" s="16">
        <v>10</v>
      </c>
      <c r="K31" s="16">
        <v>8.5</v>
      </c>
      <c r="L31" s="18">
        <f t="shared" si="0"/>
        <v>9.1999999999999993</v>
      </c>
      <c r="M31" s="16" t="s">
        <v>22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2304663158</v>
      </c>
      <c r="C32" s="25" t="s">
        <v>978</v>
      </c>
      <c r="D32" s="23" t="s">
        <v>896</v>
      </c>
      <c r="E32" s="15" t="s">
        <v>530</v>
      </c>
      <c r="F32" s="15">
        <v>10</v>
      </c>
      <c r="G32" s="15">
        <v>9.5</v>
      </c>
      <c r="H32" s="15"/>
      <c r="I32" s="17"/>
      <c r="J32" s="17">
        <v>10</v>
      </c>
      <c r="K32" s="17">
        <v>10</v>
      </c>
      <c r="L32" s="19">
        <f t="shared" si="0"/>
        <v>9.9</v>
      </c>
      <c r="M32" s="17" t="s">
        <v>22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2304652301</v>
      </c>
      <c r="C33" s="24" t="s">
        <v>979</v>
      </c>
      <c r="D33" s="22" t="s">
        <v>98</v>
      </c>
      <c r="E33" s="13" t="s">
        <v>980</v>
      </c>
      <c r="F33" s="13">
        <v>10</v>
      </c>
      <c r="G33" s="13">
        <v>9</v>
      </c>
      <c r="H33" s="13"/>
      <c r="I33" s="16"/>
      <c r="J33" s="16">
        <v>10</v>
      </c>
      <c r="K33" s="16">
        <v>10</v>
      </c>
      <c r="L33" s="18">
        <f t="shared" si="0"/>
        <v>9.9</v>
      </c>
      <c r="M33" s="16" t="s">
        <v>22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2304663135</v>
      </c>
      <c r="C34" s="24" t="s">
        <v>981</v>
      </c>
      <c r="D34" s="22" t="s">
        <v>657</v>
      </c>
      <c r="E34" s="13" t="s">
        <v>982</v>
      </c>
      <c r="F34" s="13">
        <v>10</v>
      </c>
      <c r="G34" s="13">
        <v>9</v>
      </c>
      <c r="H34" s="13"/>
      <c r="I34" s="16"/>
      <c r="J34" s="16">
        <v>10</v>
      </c>
      <c r="K34" s="16">
        <v>9.5</v>
      </c>
      <c r="L34" s="18">
        <f t="shared" si="0"/>
        <v>9.6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2304663136</v>
      </c>
      <c r="C35" s="24" t="s">
        <v>865</v>
      </c>
      <c r="D35" s="22" t="s">
        <v>117</v>
      </c>
      <c r="E35" s="13" t="s">
        <v>904</v>
      </c>
      <c r="F35" s="13">
        <v>8</v>
      </c>
      <c r="G35" s="13">
        <v>10</v>
      </c>
      <c r="H35" s="13"/>
      <c r="I35" s="16"/>
      <c r="J35" s="16">
        <v>10</v>
      </c>
      <c r="K35" s="16">
        <v>6</v>
      </c>
      <c r="L35" s="18">
        <f t="shared" si="0"/>
        <v>8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2304663139</v>
      </c>
      <c r="C36" s="24" t="s">
        <v>936</v>
      </c>
      <c r="D36" s="22" t="s">
        <v>331</v>
      </c>
      <c r="E36" s="13" t="s">
        <v>983</v>
      </c>
      <c r="F36" s="13">
        <v>9</v>
      </c>
      <c r="G36" s="13">
        <v>10</v>
      </c>
      <c r="H36" s="13"/>
      <c r="I36" s="16"/>
      <c r="J36" s="16">
        <v>10</v>
      </c>
      <c r="K36" s="16">
        <v>6</v>
      </c>
      <c r="L36" s="18">
        <f t="shared" si="0"/>
        <v>8.1</v>
      </c>
      <c r="M36" s="16" t="s">
        <v>22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2304663138</v>
      </c>
      <c r="C37" s="25" t="s">
        <v>984</v>
      </c>
      <c r="D37" s="23" t="s">
        <v>331</v>
      </c>
      <c r="E37" s="15" t="s">
        <v>985</v>
      </c>
      <c r="F37" s="15">
        <v>10</v>
      </c>
      <c r="G37" s="15">
        <v>10</v>
      </c>
      <c r="H37" s="15"/>
      <c r="I37" s="17"/>
      <c r="J37" s="17">
        <v>10</v>
      </c>
      <c r="K37" s="17">
        <v>5</v>
      </c>
      <c r="L37" s="19">
        <f t="shared" si="0"/>
        <v>7.9</v>
      </c>
      <c r="M37" s="17" t="s">
        <v>22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2304663140</v>
      </c>
      <c r="C38" s="24" t="s">
        <v>986</v>
      </c>
      <c r="D38" s="22" t="s">
        <v>590</v>
      </c>
      <c r="E38" s="13" t="s">
        <v>987</v>
      </c>
      <c r="F38" s="13">
        <v>4</v>
      </c>
      <c r="G38" s="13">
        <v>5</v>
      </c>
      <c r="H38" s="13"/>
      <c r="I38" s="16"/>
      <c r="J38" s="16">
        <v>10</v>
      </c>
      <c r="K38" s="16">
        <v>5</v>
      </c>
      <c r="L38" s="18">
        <f t="shared" si="0"/>
        <v>6.3</v>
      </c>
      <c r="M38" s="16" t="s">
        <v>460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2304663146</v>
      </c>
      <c r="C39" s="24" t="s">
        <v>779</v>
      </c>
      <c r="D39" s="22" t="s">
        <v>427</v>
      </c>
      <c r="E39" s="13" t="s">
        <v>988</v>
      </c>
      <c r="F39" s="13">
        <v>10</v>
      </c>
      <c r="G39" s="13">
        <v>5</v>
      </c>
      <c r="H39" s="13"/>
      <c r="I39" s="16"/>
      <c r="J39" s="16">
        <v>10</v>
      </c>
      <c r="K39" s="16">
        <v>6</v>
      </c>
      <c r="L39" s="18">
        <f t="shared" si="0"/>
        <v>7.6</v>
      </c>
      <c r="M39" s="16" t="s">
        <v>22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2304663147</v>
      </c>
      <c r="C40" s="24" t="s">
        <v>989</v>
      </c>
      <c r="D40" s="22" t="s">
        <v>236</v>
      </c>
      <c r="E40" s="13" t="s">
        <v>990</v>
      </c>
      <c r="F40" s="13">
        <v>6</v>
      </c>
      <c r="G40" s="13">
        <v>5.5</v>
      </c>
      <c r="H40" s="13"/>
      <c r="I40" s="16"/>
      <c r="J40" s="16">
        <v>10</v>
      </c>
      <c r="K40" s="16">
        <v>6.5</v>
      </c>
      <c r="L40" s="18">
        <f t="shared" si="0"/>
        <v>7.3</v>
      </c>
      <c r="M40" s="16" t="s">
        <v>33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2304652313</v>
      </c>
      <c r="C41" s="24" t="s">
        <v>991</v>
      </c>
      <c r="D41" s="22" t="s">
        <v>752</v>
      </c>
      <c r="E41" s="13" t="s">
        <v>992</v>
      </c>
      <c r="F41" s="13">
        <v>9</v>
      </c>
      <c r="G41" s="13">
        <v>10</v>
      </c>
      <c r="H41" s="13"/>
      <c r="I41" s="16"/>
      <c r="J41" s="16">
        <v>10</v>
      </c>
      <c r="K41" s="16">
        <v>9.5</v>
      </c>
      <c r="L41" s="18">
        <f t="shared" si="0"/>
        <v>9.6</v>
      </c>
      <c r="M41" s="16" t="s">
        <v>22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2304663134</v>
      </c>
      <c r="C42" s="25" t="s">
        <v>993</v>
      </c>
      <c r="D42" s="23" t="s">
        <v>752</v>
      </c>
      <c r="E42" s="15" t="s">
        <v>872</v>
      </c>
      <c r="F42" s="15">
        <v>10</v>
      </c>
      <c r="G42" s="15">
        <v>10</v>
      </c>
      <c r="H42" s="15"/>
      <c r="I42" s="17"/>
      <c r="J42" s="17">
        <v>10</v>
      </c>
      <c r="K42" s="17">
        <v>8</v>
      </c>
      <c r="L42" s="19">
        <f t="shared" si="0"/>
        <v>9.1</v>
      </c>
      <c r="M42" s="17" t="s">
        <v>22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2304663150</v>
      </c>
      <c r="C43" s="24" t="s">
        <v>994</v>
      </c>
      <c r="D43" s="22" t="s">
        <v>238</v>
      </c>
      <c r="E43" s="13" t="s">
        <v>995</v>
      </c>
      <c r="F43" s="13">
        <v>10</v>
      </c>
      <c r="G43" s="13">
        <v>7.5</v>
      </c>
      <c r="H43" s="13"/>
      <c r="I43" s="16"/>
      <c r="J43" s="16">
        <v>10</v>
      </c>
      <c r="K43" s="16">
        <v>5</v>
      </c>
      <c r="L43" s="18">
        <f t="shared" si="0"/>
        <v>7.5</v>
      </c>
      <c r="M43" s="16" t="s">
        <v>22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2304663149</v>
      </c>
      <c r="C44" s="24" t="s">
        <v>996</v>
      </c>
      <c r="D44" s="22" t="s">
        <v>599</v>
      </c>
      <c r="E44" s="13" t="s">
        <v>997</v>
      </c>
      <c r="F44" s="13">
        <v>10</v>
      </c>
      <c r="G44" s="13">
        <v>9</v>
      </c>
      <c r="H44" s="13"/>
      <c r="I44" s="16"/>
      <c r="J44" s="16">
        <v>10</v>
      </c>
      <c r="K44" s="16">
        <v>8.5</v>
      </c>
      <c r="L44" s="18">
        <f t="shared" si="0"/>
        <v>9.1999999999999993</v>
      </c>
      <c r="M44" s="16" t="s">
        <v>22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2304663151</v>
      </c>
      <c r="C45" s="24" t="s">
        <v>998</v>
      </c>
      <c r="D45" s="22" t="s">
        <v>241</v>
      </c>
      <c r="E45" s="13" t="s">
        <v>977</v>
      </c>
      <c r="F45" s="13">
        <v>9</v>
      </c>
      <c r="G45" s="13">
        <v>9.5</v>
      </c>
      <c r="H45" s="13"/>
      <c r="I45" s="16"/>
      <c r="J45" s="16">
        <v>10</v>
      </c>
      <c r="K45" s="16">
        <v>10</v>
      </c>
      <c r="L45" s="18">
        <f t="shared" si="0"/>
        <v>9.8000000000000007</v>
      </c>
      <c r="M45" s="16" t="s">
        <v>22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2304663148</v>
      </c>
      <c r="C46" s="24" t="s">
        <v>999</v>
      </c>
      <c r="D46" s="22" t="s">
        <v>241</v>
      </c>
      <c r="E46" s="13" t="s">
        <v>804</v>
      </c>
      <c r="F46" s="13">
        <v>10</v>
      </c>
      <c r="G46" s="13">
        <v>8.5</v>
      </c>
      <c r="H46" s="13"/>
      <c r="I46" s="16"/>
      <c r="J46" s="16">
        <v>10</v>
      </c>
      <c r="K46" s="16">
        <v>8</v>
      </c>
      <c r="L46" s="18">
        <f t="shared" si="0"/>
        <v>8.9</v>
      </c>
      <c r="M46" s="16" t="s">
        <v>22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2304663142</v>
      </c>
      <c r="C47" s="25" t="s">
        <v>1000</v>
      </c>
      <c r="D47" s="23" t="s">
        <v>435</v>
      </c>
      <c r="E47" s="15" t="s">
        <v>1001</v>
      </c>
      <c r="F47" s="15">
        <v>9</v>
      </c>
      <c r="G47" s="15">
        <v>10</v>
      </c>
      <c r="H47" s="15"/>
      <c r="I47" s="17"/>
      <c r="J47" s="17">
        <v>10</v>
      </c>
      <c r="K47" s="17"/>
      <c r="L47" s="19">
        <f t="shared" si="0"/>
        <v>9.8000000000000007</v>
      </c>
      <c r="M47" s="17" t="s">
        <v>274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2304663152</v>
      </c>
      <c r="C48" s="24" t="s">
        <v>1002</v>
      </c>
      <c r="D48" s="22" t="s">
        <v>926</v>
      </c>
      <c r="E48" s="13" t="s">
        <v>1003</v>
      </c>
      <c r="F48" s="13">
        <v>9</v>
      </c>
      <c r="G48" s="13">
        <v>6.5</v>
      </c>
      <c r="H48" s="13"/>
      <c r="I48" s="16"/>
      <c r="J48" s="16">
        <v>10</v>
      </c>
      <c r="K48" s="16">
        <v>10</v>
      </c>
      <c r="L48" s="18">
        <f t="shared" si="0"/>
        <v>9.4</v>
      </c>
      <c r="M48" s="16" t="s">
        <v>22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0">
        <v>42</v>
      </c>
      <c r="B49" s="13">
        <v>2304663143</v>
      </c>
      <c r="C49" s="24" t="s">
        <v>423</v>
      </c>
      <c r="D49" s="22" t="s">
        <v>524</v>
      </c>
      <c r="E49" s="13" t="s">
        <v>1004</v>
      </c>
      <c r="F49" s="13">
        <v>9</v>
      </c>
      <c r="G49" s="13">
        <v>7.5</v>
      </c>
      <c r="H49" s="13"/>
      <c r="I49" s="16"/>
      <c r="J49" s="16">
        <v>10</v>
      </c>
      <c r="K49" s="16">
        <v>10</v>
      </c>
      <c r="L49" s="18">
        <f t="shared" si="0"/>
        <v>9.5</v>
      </c>
      <c r="M49" s="16" t="s">
        <v>22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20">
        <v>43</v>
      </c>
      <c r="B50" s="13">
        <v>2304663145</v>
      </c>
      <c r="C50" s="24" t="s">
        <v>94</v>
      </c>
      <c r="D50" s="22" t="s">
        <v>133</v>
      </c>
      <c r="E50" s="13" t="s">
        <v>1005</v>
      </c>
      <c r="F50" s="13">
        <v>6</v>
      </c>
      <c r="G50" s="13">
        <v>6.5</v>
      </c>
      <c r="H50" s="13"/>
      <c r="I50" s="16"/>
      <c r="J50" s="16">
        <v>10</v>
      </c>
      <c r="K50" s="16">
        <v>5.5</v>
      </c>
      <c r="L50" s="18">
        <f t="shared" si="0"/>
        <v>7</v>
      </c>
      <c r="M50" s="16" t="s">
        <v>33</v>
      </c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20">
        <v>44</v>
      </c>
      <c r="B51" s="13">
        <v>2304663153</v>
      </c>
      <c r="C51" s="24" t="s">
        <v>893</v>
      </c>
      <c r="D51" s="22" t="s">
        <v>136</v>
      </c>
      <c r="E51" s="13" t="s">
        <v>1006</v>
      </c>
      <c r="F51" s="13">
        <v>9</v>
      </c>
      <c r="G51" s="13">
        <v>7</v>
      </c>
      <c r="H51" s="13"/>
      <c r="I51" s="16"/>
      <c r="J51" s="16">
        <v>10</v>
      </c>
      <c r="K51" s="16">
        <v>5</v>
      </c>
      <c r="L51" s="18">
        <f t="shared" si="0"/>
        <v>7.3</v>
      </c>
      <c r="M51" s="16" t="s">
        <v>22</v>
      </c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2.75" customHeight="1" x14ac:dyDescent="0.35">
      <c r="A52" s="21">
        <v>45</v>
      </c>
      <c r="B52" s="15">
        <v>2304663154</v>
      </c>
      <c r="C52" s="25" t="s">
        <v>1007</v>
      </c>
      <c r="D52" s="23" t="s">
        <v>136</v>
      </c>
      <c r="E52" s="15" t="s">
        <v>1006</v>
      </c>
      <c r="F52" s="15">
        <v>10</v>
      </c>
      <c r="G52" s="15">
        <v>9</v>
      </c>
      <c r="H52" s="15"/>
      <c r="I52" s="17"/>
      <c r="J52" s="17">
        <v>10</v>
      </c>
      <c r="K52" s="17">
        <v>5.5</v>
      </c>
      <c r="L52" s="19">
        <f t="shared" si="0"/>
        <v>7.9</v>
      </c>
      <c r="M52" s="17" t="s">
        <v>22</v>
      </c>
      <c r="N52" s="11"/>
      <c r="O52" s="11"/>
      <c r="P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2.75" customHeight="1" x14ac:dyDescent="0.35">
      <c r="A53" s="21">
        <v>46</v>
      </c>
      <c r="B53" s="15">
        <v>2304663156</v>
      </c>
      <c r="C53" s="25" t="s">
        <v>1008</v>
      </c>
      <c r="D53" s="23" t="s">
        <v>612</v>
      </c>
      <c r="E53" s="15" t="s">
        <v>1009</v>
      </c>
      <c r="F53" s="15">
        <v>7</v>
      </c>
      <c r="G53" s="15">
        <v>7</v>
      </c>
      <c r="H53" s="15"/>
      <c r="I53" s="17"/>
      <c r="J53" s="17">
        <v>10</v>
      </c>
      <c r="K53" s="17">
        <v>6</v>
      </c>
      <c r="L53" s="19">
        <f t="shared" si="0"/>
        <v>7.4</v>
      </c>
      <c r="M53" s="17" t="s">
        <v>42</v>
      </c>
      <c r="N53" s="11"/>
      <c r="O53" s="11"/>
      <c r="P53" s="1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ht="12.75" customHeight="1" x14ac:dyDescent="0.35">
      <c r="A54" s="39" t="s">
        <v>141</v>
      </c>
      <c r="B54" s="40"/>
      <c r="C54" s="41"/>
      <c r="D54" s="41"/>
      <c r="E54" s="41"/>
      <c r="F54" s="40"/>
      <c r="G54" s="40"/>
      <c r="H54" s="40"/>
      <c r="I54" s="40"/>
      <c r="J54" s="42"/>
      <c r="K54" s="8"/>
      <c r="L54" s="9"/>
      <c r="M54" s="10"/>
      <c r="N54" s="11"/>
      <c r="O54" s="11"/>
      <c r="P54" s="1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ht="12.75" customHeight="1" x14ac:dyDescent="0.35">
      <c r="A55" s="43"/>
      <c r="B55" s="33"/>
      <c r="C55" s="44"/>
      <c r="D55" s="45"/>
      <c r="E55" s="45"/>
      <c r="F55" s="46"/>
      <c r="G55" s="46"/>
      <c r="H55" s="46"/>
      <c r="I55" s="46"/>
      <c r="J55" s="47"/>
    </row>
    <row r="56" spans="1:37" ht="12.75" customHeight="1" x14ac:dyDescent="0.35">
      <c r="A56" s="48" t="s">
        <v>142</v>
      </c>
      <c r="B56" s="33"/>
      <c r="C56" s="44"/>
      <c r="D56" s="45" t="s">
        <v>143</v>
      </c>
      <c r="E56" s="45"/>
      <c r="F56" s="46" t="str">
        <f>TEXT(COUNTIF(L8:L53,"&gt;="&amp;Q56),"#0")</f>
        <v>31</v>
      </c>
      <c r="G56" s="46"/>
      <c r="H56" s="31" t="s">
        <v>144</v>
      </c>
      <c r="I56" s="46" t="str">
        <f>ROUND(F56/IF(COUNTIF(L8:L53,"&gt;=0")=0,1,COUNTIF(L8:L53,"&gt;=0")),4)*100&amp;"%"</f>
        <v>67.39%</v>
      </c>
      <c r="J56" s="47"/>
      <c r="Q56" s="26">
        <v>7.95</v>
      </c>
    </row>
    <row r="57" spans="1:37" ht="12.75" customHeight="1" x14ac:dyDescent="0.35">
      <c r="A57" s="43" t="s">
        <v>145</v>
      </c>
      <c r="B57" s="33"/>
      <c r="C57" s="44"/>
      <c r="D57" s="45" t="s">
        <v>146</v>
      </c>
      <c r="E57" s="45"/>
      <c r="F57" s="46" t="str">
        <f>TEXT(COUNTIF(L8:L53,"&gt;="&amp;Q57)-F56,"#0")</f>
        <v>14</v>
      </c>
      <c r="G57" s="46"/>
      <c r="H57" s="31" t="s">
        <v>144</v>
      </c>
      <c r="I57" s="46" t="str">
        <f>ROUND(F57/IF(COUNTIF(L8:L53,"&gt;=0")=0,1,COUNTIF(L8:L53,"&gt;=0")),4)*100&amp;"%"</f>
        <v>30.43%</v>
      </c>
      <c r="J57" s="47"/>
      <c r="Q57" s="26">
        <v>6.45</v>
      </c>
    </row>
    <row r="58" spans="1:37" ht="12.75" customHeight="1" x14ac:dyDescent="0.35">
      <c r="A58" s="27"/>
      <c r="D58" s="45" t="s">
        <v>147</v>
      </c>
      <c r="E58" s="45"/>
      <c r="F58" s="46" t="str">
        <f>TEXT(COUNTIF(L8:L53,"&gt;="&amp;Q58)-F57-F56,"#0")</f>
        <v>1</v>
      </c>
      <c r="G58" s="46"/>
      <c r="H58" s="31" t="s">
        <v>144</v>
      </c>
      <c r="I58" s="46" t="str">
        <f>ROUND(F58/IF(COUNTIF(L8:L53,"&gt;=0")=0,1,COUNTIF(L8:L53,"&gt;=0")),4)*100&amp;"%"</f>
        <v>2.17%</v>
      </c>
      <c r="J58" s="47"/>
      <c r="Q58" s="26">
        <v>4.95</v>
      </c>
    </row>
    <row r="59" spans="1:37" ht="12.75" customHeight="1" x14ac:dyDescent="0.35">
      <c r="A59" s="28"/>
      <c r="B59" s="29"/>
      <c r="C59" s="30"/>
      <c r="D59" s="49" t="s">
        <v>148</v>
      </c>
      <c r="E59" s="49"/>
      <c r="F59" s="50" t="str">
        <f>TEXT(COUNTIF(L8:L53,"&gt;=0")-F55-F56-F57-F58,"#0")</f>
        <v>0</v>
      </c>
      <c r="G59" s="50"/>
      <c r="H59" s="32" t="s">
        <v>144</v>
      </c>
      <c r="I59" s="50" t="str">
        <f>ROUND(F59/IF(COUNTIF(L8:L53,"&gt;=0")=0,1,COUNTIF(L8:L53,"&gt;=0")),4)*100&amp;"%"</f>
        <v>0%</v>
      </c>
      <c r="J59" s="51"/>
    </row>
    <row r="65536" ht="14.5" x14ac:dyDescent="0.35"/>
  </sheetData>
  <mergeCells count="32">
    <mergeCell ref="D58:E58"/>
    <mergeCell ref="F58:G58"/>
    <mergeCell ref="I58:J58"/>
    <mergeCell ref="D59:E59"/>
    <mergeCell ref="F59:G59"/>
    <mergeCell ref="I59:J59"/>
    <mergeCell ref="A54:J55"/>
    <mergeCell ref="A56:C56"/>
    <mergeCell ref="D56:E56"/>
    <mergeCell ref="F56:G56"/>
    <mergeCell ref="I56:J56"/>
    <mergeCell ref="A57:C57"/>
    <mergeCell ref="D57:E57"/>
    <mergeCell ref="F57:G57"/>
    <mergeCell ref="I57:J57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78">
    <dataValidation type="list" allowBlank="1" showInputMessage="1" showErrorMessage="1" errorTitle="Thông báo" error="Bạn phải nhập [Đạt] = d, Đ, đ, 1   [Chưa đạt] = c, CĐ, cđ, 2" sqref="C5" xr:uid="{1F08D4B5-FD0B-42A9-AFF7-8AA83A4C8065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9F312A27-90F1-440D-9DAA-BD49A6B731D9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41DF0C2B-2E8A-483E-8606-A0C689BDC87A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D6263E20-3F48-4075-88AE-DACA9636D0D6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349F1701-CE7F-45AA-BF89-9A88FEC1A894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C88F2284-D2E8-4756-AFDB-25FCFC82080F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F3CC87DA-BEB4-46AD-9B69-FEA710623AE7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4AD96FDE-2C75-47E5-8E06-FB1AC6F336EA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C5C83FA3-4140-4E6F-8889-6B6C3B6A8083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A7C280FF-702B-4481-8431-3BDAAD2FBEE7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87778D45-4B17-4DF9-9256-415B1875720F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1ED27986-323A-4434-A68E-84DD31EBA4F7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40E0B2B4-98D6-4CE1-BF40-58B8C1AC4E6F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32188EDC-7304-43A2-84AA-F67EBBF8BF30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0D7B6469-E316-4DC2-8678-8FA9B029CAE1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76BC94DE-DC1F-4DD5-A3ED-22BDF5E6FB8E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E2CCF06E-9BA6-4505-B73A-E620DB94E837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FB3E0612-7797-4221-8BB2-FCC0673E5F42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F0E3C722-BD98-4973-A0D1-433B7C7484BE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9546DDB4-26ED-4D47-864B-0449C7E52A52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44E1A573-6063-4B59-A707-04255619DC36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50A104A3-91DD-4CBC-A252-701A4D01DDAB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8A703CBB-B23F-45F9-B3E0-F5B64998D184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8AC9506B-AF5E-46B3-9592-C965F0315FA7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2D1B9478-D880-4496-8399-0E0A27ECD042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51265776-CE95-4C66-8142-FBA2EF33FE09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A97CF716-4684-4185-97D2-6F8A6C594318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D16AEA0F-9273-4F5E-AB17-32C0394C6151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E8E2345D-BF13-49B7-94BD-2BA74C99C9BA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C02DCE6C-E37E-450A-8275-9723F774F816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49B1A9F9-DBF7-4DA4-8FDD-D00CC53266FD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93543DF4-9538-4C19-8449-292982680252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256C689B-98E3-4BAC-8F70-BECBF380EEEB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1B51B220-AA01-4925-9E38-BA51F1CF9439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7F0B886E-45C8-4DD0-A4C8-F7D193ABE77F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7E3AC5BA-1E3D-4A73-95A9-FE1E69A18A95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39FA8561-E970-41EB-B92E-4FD35442A963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42BDBE8F-A546-4F50-9621-98FF754AF001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67471E92-5CBF-41CD-B2F7-65F0678C56BA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F8728BCE-6A36-4D86-A07A-AFAF9991516A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3BB918AD-298A-40F9-957F-0F2E840725BC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4909987A-05F1-4174-9208-3A0AAA7DFE54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ABADB70D-D1BC-4E27-9247-D11ACA226850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CF80B681-E76D-4000-8895-794F1CAE3020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BB6AFC77-9EE5-4C79-8619-74B46298564F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81E382B2-259B-423F-8206-907A68004E74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A173C841-D220-46CC-A443-160A07AA087E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15F8DCED-3B3C-42B2-8367-9F2664555BE6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47BD3B2F-D6DF-4C3C-88BB-3FCB2FF770F1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77243511-16BB-488D-8AA1-DD2BBBC9BDFB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27585406-2540-46ED-BA5E-66486B937745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72B913A6-9879-4088-A986-3F65DFB3382C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312600C7-0392-4C3B-82A3-5C5095AF9A53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F5E77877-700C-4201-B0D7-D3126BBE1103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297FDCE2-CF5D-4496-B740-BEF8C134E57E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10768669-3B27-4953-BD74-5CF8F6F0E914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0AD75A29-3C62-4A98-B4D0-42929D32DC35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676054DF-B783-478D-B228-4CA1A6FA3EA1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20A0677A-E789-49AA-A9C6-4B21ED4289FF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11DF3E8D-C7E3-4BCF-9602-A788DAA5B31A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C286BD87-4A0B-41E8-8557-181F34735B83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1AFBC74E-B16B-4757-8755-05B0735EDF76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50DC7073-54D5-4C1F-BBB9-3467E2492C6B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98BA7312-4A0D-44AD-8843-D249F7D9E40B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16BA5F11-E33B-4D72-B292-2277E74943B3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D096DE7F-5B95-4C2B-A510-C614E6B395F9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C9D936BD-F7F2-489F-B669-6AA559CBD908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8F6526C2-9A76-42C0-B87F-34289C3E87A6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EFD46304-BA10-4BBD-AC86-D0A5FC67DF36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FD301C52-3E52-4097-B2BF-F1CE132C5C90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52AEAED5-8AFF-4E4B-9B7F-67A963E77C80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84106FEF-F4A4-43F1-9338-45B3D7B5763F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AED3437D-843A-4165-B383-84F23AF8F0DF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C9619190-691A-4CFB-947B-AB31919C1F15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1CCB6B7B-D1C8-47FC-AE4C-1CC516644F44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BB4FF5B4-2B37-4E2B-99FE-A9055503FCDD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4D15CF28-54DF-4DA9-A299-F7A23CEEDC87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9D001FCE-6EE1-4940-A7CE-84D55151DB46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3DB3309E-39C6-4ED6-9EB3-C1480CF737A9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6A953589-F22D-4656-9AD7-116B7FB725E4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7A85966E-385A-484E-8857-32FFAB918E8F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E260AE9E-066A-4C66-9ED5-83E47053E3D7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CCFAEE77-2AE5-4A24-B315-1609E968FCFF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BF37490D-5E7D-45D0-8F72-E7B43E26FB9A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0EC6DE54-41E6-49FA-A7D4-EAA549BDAF28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795A6103-36A2-4094-89A4-CABCD7D1894C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79FBFB3B-1471-40F5-9196-B63422332C1D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F9654F4F-E137-48FB-ACDA-56940BA89354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4FA9EB35-FA58-42C0-8B2F-9D1ADE5A82CF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D0238263-4415-4820-8675-6AC072527006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F3F88975-39B6-4B5E-A4AA-69D38C536930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656C3E57-AA21-49F2-B0A6-D0BB84A4335D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CC2248ED-C8FE-4E58-B300-1FE751E34CD6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27D50E2A-0E21-4050-874D-A104D3A36B7D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8207BF18-A419-4870-AA19-F9D5F3C841FD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C741D0B9-66AC-4A06-951F-ABEA0FEBFBE0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BE429752-D9A0-417E-B433-4D9594B4D2C8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915DC255-B066-4F0D-9426-E412F33E085E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E0859152-FD96-49AB-B13D-6DF69D24AE37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BDBE6878-5989-4827-B70D-F870D7A363DB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9DD999E1-88A8-4D88-8E00-F0916B7D3169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7A6F3157-E48D-4316-9FFA-9900EABCEA96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98A3BFD5-D60A-425E-904C-53A50248ECA7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571570E7-89ED-4B4E-B7AF-E3ECAA13958E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4A69953E-AFB0-40AF-91BB-34608BB72E37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447E41A0-246A-4C97-93C6-8A4C2E31DC60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0BDC6FB5-FDC0-4709-A4F0-9C0B2A73CEFF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85747727-1C33-4C7C-8D8E-C1743D8A4083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2FC10908-4D39-435A-82BA-9F533221FE40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DD35EC21-BEB0-484E-843F-3A3380EEEB8E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EB458D4E-8C36-4164-B91C-B697C328CE0C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642C8279-D650-41B2-81E6-44F1D17E3612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9739ED4E-5A9F-4382-8FF3-F94DF8D21FC8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C4851D99-2A2C-4843-8BE0-94D97790986D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D13B65FB-64A7-4453-9F84-B7920817CD31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6336E313-90D2-45AC-902C-B9134C68E043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9AF6E2C1-3BE7-49F4-B1A5-C15E7A0D64EA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DF6EEE48-97FF-480F-B6D2-71DD5D104AD5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5002C34C-49BC-4A93-B0EA-88C0F31541FA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E1E02054-73FF-41AF-B31A-301069244A32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66ABDBDD-E75D-4B4C-8867-6F2EA9BFC303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58D4A06C-CDA1-4A92-9D4F-CF379B3D57D7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3645E55F-EC5E-496F-83A1-BC1AC04B245B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F7C3BEA8-F84A-48C0-9EB5-A497B5616434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B89E95CE-C77A-4893-8688-B93EB533387E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B8F17B66-D8F8-4DE6-8354-798F4383F364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CD3A3C14-4652-4E4D-B1CB-54B3003D85F9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3A5B4A2F-1ED0-4D14-B9F7-55AB145F4A66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2D7E8A2F-1474-4664-AC5B-5243F66C182A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FB6EDBC8-14C2-43EA-B7C5-B93E0B16270E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AAE9D577-D882-42CD-84B6-A65A845719EC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D4265568-E075-4FC6-8C6A-15742F245F15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574D1DE4-71E3-4DD7-83AA-C0EC113D3654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B5C879B4-7725-4AF3-973A-DD2359B4BB97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A94A6795-865F-4C54-8AAA-E8C1A9EE21FB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E9B35C36-862C-4ABE-AACC-524DF55D33A4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23B328C7-9455-49DF-991D-5C10ECD79B77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F1D655AE-D594-4717-9275-05EA7455392C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6B34CCA4-04C8-4429-80BB-E015F23E4CAA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EB11C17C-272F-4B5A-8F66-A4491C1D1BCF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305218A4-6398-4141-A071-2308A2744E2C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C72F757F-F131-4A2F-98DF-06723465C883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78D9E6C7-4ADF-461B-AF7E-B2211FA0F024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C857FC04-CF4D-46E5-8D59-1B8193523FFB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D7370BE8-76F5-48DD-BBD6-69F837AD3543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C7FF187C-A30B-4522-AAE7-1FDBCBCF9C88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339D119E-6790-400B-B09C-AA8DC8978A1E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3975AEAC-20ED-4643-A3EC-B9EFFF6FDA3C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CFB0930C-C44C-4176-B68F-4DD9DA4B0AE9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E95C2CE5-343B-4872-A232-493313F21BDC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073C9AA2-8964-4019-8BA7-A8BEEB0A0758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DE75E887-9D1A-49DB-981B-6B5A27FEA929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CA1C04E6-CE95-4D92-90BE-F2F49A182DA0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F0F0C99D-8006-4322-B941-FB5100D9EAA7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EFE77DD9-3D29-4E31-8E18-5BCC3554B205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C14C3170-59BD-4A08-B9ED-590A953CE4E2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069AC7B5-672F-4EDB-A68E-E49362175DE1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1FF9C07D-FF88-4C34-8D4C-A8DDCEDCB081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484BCE82-3EE6-466F-8D70-B9BF7DCD7670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B7CF338E-12E6-44EF-A0AA-ACA144726FB3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F665503D-FB5D-4DC0-A04E-00BE2F350332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31BF4FFB-4D69-4CCB-A9E1-8DB18566DBD6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236BDA60-828D-4E12-9DF7-5440592C1DCC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B4356F26-D204-453C-A718-9C35016A83B3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88FD013E-794F-4C9E-A07A-39507D8F203B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EE6A0603-BF5D-47FA-B836-6DCCE6D194E3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1B7788A3-590A-4D37-B9CC-7DC543899B17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BC4375C8-7FE3-4624-BC71-CC3887E02613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BEA9F4D3-D747-4807-BAE8-B2A175C946E6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9555BE86-892E-43B3-B5A9-831A0A9295E7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76BF788B-D85C-44F2-B668-293BBC9E1E6C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D8925227-7BF7-476D-9A72-BDB82A6FC678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6F256C2A-55EF-46AD-92A2-C877AD6D5BB8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C8F611A6-1F5D-40B5-8B0B-8F8F5AF522CD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81211357-25D0-475E-97A7-B03BB126FAD8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C08961B7-6807-49B1-9765-37116346CDA0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B7C8A0BF-07AE-449A-BE12-21C01CA5B6D4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FD643582-8D99-4414-A37D-609C98D0025C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FEF64737-D582-47BC-AF5B-D5E9DFA256E5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A352C0C6-5543-4D47-823B-5ED8821AEE1D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7A16A604-DFD3-445D-9BB1-6CEAD3ED6B6C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F159EEDB-72D1-4D3F-9995-C28DA65A0C6B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EEB0E3D2-59CD-48B8-B016-2D21BF46FB3D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955A94F1-D1E2-4343-815C-CEEB727DE81C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22950B84-41BB-40ED-8C50-C87D8F794A2D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BB1FDB65-603E-428D-8D2E-EC9A0BAEE433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83A6ED25-0387-4020-99E1-A384BADF69EE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2AB69C07-86B7-4907-837D-4D99886B8CC4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4EB4605D-19BD-49DA-84C6-13E2B0010D5B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F27746D9-AFB1-48D3-925E-645C8CB4CE4F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15580336-E371-470A-AE6D-239A2CC419D2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3C465B5D-ADAA-4B9C-B856-A93AAB9AC61F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BABF5D20-7487-41A1-9087-62882FB78DFE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D305E16A-0D02-4457-A69D-28176A6862B6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52E401A5-9E3A-4090-8FF5-DD65B880F876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7109046E-2767-49B4-8E23-FB94B52E6AB8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E1F74887-9267-4C98-AC55-562BEF111A2B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7CB7D135-A741-4893-BD0C-4FA17232D2A9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EFE1AB03-6380-4D8E-97AE-5BC8D25989D9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1C34AE01-A846-4DE4-9FDD-87E1489E3217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E1581B7C-B517-476F-8983-5444617FDAE3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141017E0-FF18-418C-B5C9-D10DBE3CC279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3A39FF13-B21C-4206-BFB3-EE38A2437D1E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0ADF367D-67FE-4E22-B74B-6F76B4EACC28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E8FB6052-64DB-4078-B190-4FFCBDE8AEDF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B129B8E2-838E-45EE-8D13-88DCEA2B88EC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C3DDA02B-D4B2-470D-88A8-E0B0C6686F20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5311DC73-7445-4233-B791-847DB019B0D1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8C71D1DD-9CC9-45E6-9525-71C3E7F63BE6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D7419C9B-926D-4469-BE27-6D279D81DF53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AC122DB5-92E0-40BF-93E5-9C25816EEC72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764C258D-8ABD-4E02-A439-8211BC013933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0A7C6E33-C5A1-4DF5-9899-97105D055FC1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51FF6119-37F7-449D-8E96-51B7B9217655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C951A96E-6BD0-4C27-A4E2-897E6769922D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44DED673-9B51-4CC1-BBDD-CB9B0C322798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4358DA32-D590-4DED-8A87-2374D090438A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D85951A8-725D-460A-A31B-F53F0DC989CE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5B59E017-DB43-4D5C-B5B8-8534C5AAAF07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CB605687-746F-4A83-8A37-53B40D9DB80D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D8A26B5E-6C3E-4588-95B5-68F4E0C9C7C0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EFF12D0D-E78C-4A10-B1AE-EB25A07A8E16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45624374-781F-46DB-90CC-D1A0E87454A7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3FF61772-F34A-4EDA-BD09-2EEA20461508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07C39B21-E175-4755-8E2E-852FB9A1145F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9B97B5DE-1F0D-4CEC-A867-63B2E818EE3C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8868BF88-B2C7-40B8-A631-E9645AB1A354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9FD3DB54-138D-4E09-950D-5272BD5DA2B8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B48135CD-5B6D-4E62-A6EA-9824FDEBBE28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BFC169E2-8818-4D45-A6F6-E3DFAF9019F4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596D8B83-F8B9-445C-BC21-5E1A471D001E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017F7F3D-4B86-4AD8-B6B7-DEEF08D7E79C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577337D2-C733-4FD0-9E21-2FD72FB26FEC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8646515C-2B8E-4B46-AFC0-D426316CA3DD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793B4891-6529-472B-832C-37416C1F06C7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D8A08F3F-21AC-446A-BE79-18B566B11104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F21FA831-F906-4FDF-A3B0-3CB9F9DF1EBD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39C1112F-A732-43C6-8D28-12706B2561DD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A284D9F1-F2A2-4924-A64F-5B20A6F9C5DD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DE5C0A3D-75A5-4005-9C66-B7F700906341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43BC1B39-FEBE-433E-9A6E-A6BC5956CFBE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D6596E19-C3D7-4771-B286-16766126921F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33BA6112-BC18-46A7-B4D9-40FDD03AA4CA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03E7BF5F-5AD6-4BB2-A0AE-F09370FA679B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C3671E8C-11F6-4E9D-9E7D-FAE2BCA868A2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99CD6C32-6BEF-4FCC-9DE6-47D16C921735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40961C59-0877-4057-BBEE-13C8CD429D9B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885C63BD-AB07-4300-80EA-28998071CBC9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323AA4E0-3874-4C07-853F-4163CA06E4B4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80756E5E-91BB-46E6-803D-59D47951755A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A773C7AE-D45A-41E9-81B5-E41EE1296A04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D1337782-EE55-4CDA-BE09-EE85B24B7907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E374AB15-5BEF-436E-A522-61EA3072F92C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A0F43D57-5CD3-4266-8349-D534D975E519}">
      <formula1>0</formula1>
      <formula2>10</formula2>
    </dataValidation>
    <dataValidation type="decimal" allowBlank="1" showInputMessage="1" showErrorMessage="1" errorTitle="Thông báo" error="Giá trị con điểm phải là số &gt;=0 và &lt;=10 " sqref="F50" xr:uid="{7A3384C7-7C86-45C0-ABE8-48B6FDD6F327}">
      <formula1>0</formula1>
      <formula2>10</formula2>
    </dataValidation>
    <dataValidation type="decimal" allowBlank="1" showInputMessage="1" showErrorMessage="1" errorTitle="Thông báo" error="Giá trị con điểm phải là số &gt;=0 và &lt;=10 " sqref="G50" xr:uid="{FF4870C1-B8F7-4DC6-AB9A-5E1EDB3C510F}">
      <formula1>0</formula1>
      <formula2>10</formula2>
    </dataValidation>
    <dataValidation type="decimal" allowBlank="1" showInputMessage="1" showErrorMessage="1" errorTitle="Thông báo" error="Giá trị con điểm phải là số &gt;=0 và &lt;=10 " sqref="H50" xr:uid="{AC2AE010-9C7F-425B-BC23-F95557F0A3B6}">
      <formula1>0</formula1>
      <formula2>10</formula2>
    </dataValidation>
    <dataValidation type="decimal" allowBlank="1" showInputMessage="1" showErrorMessage="1" errorTitle="Thông báo" error="Giá trị con điểm phải là số &gt;=0 và &lt;=10 " sqref="I50" xr:uid="{8DE61A42-EE27-443D-929E-58E390D75A70}">
      <formula1>0</formula1>
      <formula2>10</formula2>
    </dataValidation>
    <dataValidation type="decimal" allowBlank="1" showInputMessage="1" showErrorMessage="1" errorTitle="Thông báo" error="Giá trị con điểm phải là số &gt;=0 và &lt;=10 " sqref="J50" xr:uid="{D08DC59B-0421-4713-AE57-48FDA5C6622D}">
      <formula1>0</formula1>
      <formula2>10</formula2>
    </dataValidation>
    <dataValidation type="decimal" allowBlank="1" showInputMessage="1" showErrorMessage="1" errorTitle="Thông báo" error="Giá trị con điểm phải là số &gt;=0 và &lt;=10 " sqref="K50" xr:uid="{DB00D7C5-9961-4EE2-972D-765EB0ED1F23}">
      <formula1>0</formula1>
      <formula2>10</formula2>
    </dataValidation>
    <dataValidation type="decimal" allowBlank="1" showInputMessage="1" showErrorMessage="1" errorTitle="Thông báo" error="Giá trị con điểm phải là số &gt;=0 và &lt;=10 " sqref="F51" xr:uid="{2E29C7A2-81EB-420B-9231-60AF1FB32EA2}">
      <formula1>0</formula1>
      <formula2>10</formula2>
    </dataValidation>
    <dataValidation type="decimal" allowBlank="1" showInputMessage="1" showErrorMessage="1" errorTitle="Thông báo" error="Giá trị con điểm phải là số &gt;=0 và &lt;=10 " sqref="G51" xr:uid="{C392F88B-D672-4874-8C0A-99FD2E7B03E6}">
      <formula1>0</formula1>
      <formula2>10</formula2>
    </dataValidation>
    <dataValidation type="decimal" allowBlank="1" showInputMessage="1" showErrorMessage="1" errorTitle="Thông báo" error="Giá trị con điểm phải là số &gt;=0 và &lt;=10 " sqref="H51" xr:uid="{B039BD96-6255-44B0-AFAE-ADE6D38D5D99}">
      <formula1>0</formula1>
      <formula2>10</formula2>
    </dataValidation>
    <dataValidation type="decimal" allowBlank="1" showInputMessage="1" showErrorMessage="1" errorTitle="Thông báo" error="Giá trị con điểm phải là số &gt;=0 và &lt;=10 " sqref="I51" xr:uid="{FD2348F8-76CA-403F-B043-2F95DE6C7D4F}">
      <formula1>0</formula1>
      <formula2>10</formula2>
    </dataValidation>
    <dataValidation type="decimal" allowBlank="1" showInputMessage="1" showErrorMessage="1" errorTitle="Thông báo" error="Giá trị con điểm phải là số &gt;=0 và &lt;=10 " sqref="J51" xr:uid="{4FBF746E-59C7-4E9B-B081-438D5A727D70}">
      <formula1>0</formula1>
      <formula2>10</formula2>
    </dataValidation>
    <dataValidation type="decimal" allowBlank="1" showInputMessage="1" showErrorMessage="1" errorTitle="Thông báo" error="Giá trị con điểm phải là số &gt;=0 và &lt;=10 " sqref="K51" xr:uid="{E99DC807-37AB-4DEC-A902-BCE28692F122}">
      <formula1>0</formula1>
      <formula2>10</formula2>
    </dataValidation>
    <dataValidation type="decimal" allowBlank="1" showInputMessage="1" showErrorMessage="1" errorTitle="Thông báo" error="Giá trị con điểm phải là số &gt;=0 và &lt;=10 " sqref="F52" xr:uid="{712CF7A9-506C-4FC8-8D8B-81B2140D5830}">
      <formula1>0</formula1>
      <formula2>10</formula2>
    </dataValidation>
    <dataValidation type="decimal" allowBlank="1" showInputMessage="1" showErrorMessage="1" errorTitle="Thông báo" error="Giá trị con điểm phải là số &gt;=0 và &lt;=10 " sqref="G52" xr:uid="{931D9586-A647-4918-893A-465974E52D50}">
      <formula1>0</formula1>
      <formula2>10</formula2>
    </dataValidation>
    <dataValidation type="decimal" allowBlank="1" showInputMessage="1" showErrorMessage="1" errorTitle="Thông báo" error="Giá trị con điểm phải là số &gt;=0 và &lt;=10 " sqref="H52" xr:uid="{A4B3ED87-D924-4D1D-A567-0E372EE6BA50}">
      <formula1>0</formula1>
      <formula2>10</formula2>
    </dataValidation>
    <dataValidation type="decimal" allowBlank="1" showInputMessage="1" showErrorMessage="1" errorTitle="Thông báo" error="Giá trị con điểm phải là số &gt;=0 và &lt;=10 " sqref="I52" xr:uid="{CA5138E1-E573-4F4A-92A5-77D068CFDE6E}">
      <formula1>0</formula1>
      <formula2>10</formula2>
    </dataValidation>
    <dataValidation type="decimal" allowBlank="1" showInputMessage="1" showErrorMessage="1" errorTitle="Thông báo" error="Giá trị con điểm phải là số &gt;=0 và &lt;=10 " sqref="J52" xr:uid="{24B36EBE-A83F-4017-80A8-59FFE5B0ADF3}">
      <formula1>0</formula1>
      <formula2>10</formula2>
    </dataValidation>
    <dataValidation type="decimal" allowBlank="1" showInputMessage="1" showErrorMessage="1" errorTitle="Thông báo" error="Giá trị con điểm phải là số &gt;=0 và &lt;=10 " sqref="K52" xr:uid="{4E97EC86-60FA-4A61-90DC-E1D218BD0F51}">
      <formula1>0</formula1>
      <formula2>10</formula2>
    </dataValidation>
    <dataValidation type="decimal" allowBlank="1" showInputMessage="1" showErrorMessage="1" errorTitle="Thông báo" error="Giá trị con điểm phải là số &gt;=0 và &lt;=10 " sqref="F53" xr:uid="{0F3FAC1F-84E4-4E58-8525-1BD01C4F3E2D}">
      <formula1>0</formula1>
      <formula2>10</formula2>
    </dataValidation>
    <dataValidation type="decimal" allowBlank="1" showInputMessage="1" showErrorMessage="1" errorTitle="Thông báo" error="Giá trị con điểm phải là số &gt;=0 và &lt;=10 " sqref="G53" xr:uid="{4B4913B7-B58E-4CB9-B806-881F8BC7BA26}">
      <formula1>0</formula1>
      <formula2>10</formula2>
    </dataValidation>
    <dataValidation type="decimal" allowBlank="1" showInputMessage="1" showErrorMessage="1" errorTitle="Thông báo" error="Giá trị con điểm phải là số &gt;=0 và &lt;=10 " sqref="H53" xr:uid="{CB60E9F0-8AE2-4FDB-92AA-623883483F43}">
      <formula1>0</formula1>
      <formula2>10</formula2>
    </dataValidation>
    <dataValidation type="decimal" allowBlank="1" showInputMessage="1" showErrorMessage="1" errorTitle="Thông báo" error="Giá trị con điểm phải là số &gt;=0 và &lt;=10 " sqref="I53" xr:uid="{4F3FD4BC-6B0E-4E25-A22D-B7E6C1B0214E}">
      <formula1>0</formula1>
      <formula2>10</formula2>
    </dataValidation>
    <dataValidation type="decimal" allowBlank="1" showInputMessage="1" showErrorMessage="1" errorTitle="Thông báo" error="Giá trị con điểm phải là số &gt;=0 và &lt;=10 " sqref="J53" xr:uid="{C54F1F85-E378-4812-A2BF-7E92B7F5774D}">
      <formula1>0</formula1>
      <formula2>10</formula2>
    </dataValidation>
    <dataValidation type="decimal" allowBlank="1" showInputMessage="1" showErrorMessage="1" errorTitle="Thông báo" error="Giá trị con điểm phải là số &gt;=0 và &lt;=10 " sqref="K53" xr:uid="{84A7904A-234F-417C-9B61-7BA70F2B4E9C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8CDD-3323-4A50-A890-796B92DCA540}">
  <dimension ref="A1:AK65536"/>
  <sheetViews>
    <sheetView showRuler="0" zoomScaleNormal="100" workbookViewId="0">
      <selection activeCell="D50" sqref="D50:J54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1010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2304664170</v>
      </c>
      <c r="C8" s="24" t="s">
        <v>1011</v>
      </c>
      <c r="D8" s="22" t="s">
        <v>20</v>
      </c>
      <c r="E8" s="13" t="s">
        <v>1012</v>
      </c>
      <c r="F8" s="13">
        <v>8</v>
      </c>
      <c r="G8" s="13">
        <v>9</v>
      </c>
      <c r="H8" s="13"/>
      <c r="I8" s="16"/>
      <c r="J8" s="16">
        <v>10</v>
      </c>
      <c r="K8" s="16">
        <v>10</v>
      </c>
      <c r="L8" s="18">
        <f t="shared" ref="L8:L48" si="0">IF((COUNT(F8:I8)+COUNT(J8:J8)*2+COUNT(K8:K8)*3),ROUND((SUM(F8:I8)+SUM(J8:J8)*2+SUM(K8:K8)*3)/(COUNT(F8:I8)+COUNT(J8:J8)*2+COUNT(K8:K8)*3),1),"")</f>
        <v>9.6</v>
      </c>
      <c r="M8" s="16" t="s">
        <v>22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2304664213</v>
      </c>
      <c r="C9" s="24" t="s">
        <v>1013</v>
      </c>
      <c r="D9" s="22" t="s">
        <v>20</v>
      </c>
      <c r="E9" s="13" t="s">
        <v>530</v>
      </c>
      <c r="F9" s="13">
        <v>5</v>
      </c>
      <c r="G9" s="13">
        <v>9.5</v>
      </c>
      <c r="H9" s="13"/>
      <c r="I9" s="16"/>
      <c r="J9" s="16">
        <v>10</v>
      </c>
      <c r="K9" s="16">
        <v>10</v>
      </c>
      <c r="L9" s="18">
        <f t="shared" si="0"/>
        <v>9.1999999999999993</v>
      </c>
      <c r="M9" s="16" t="s">
        <v>33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2304664173</v>
      </c>
      <c r="C10" s="24" t="s">
        <v>1014</v>
      </c>
      <c r="D10" s="22" t="s">
        <v>24</v>
      </c>
      <c r="E10" s="13" t="s">
        <v>1015</v>
      </c>
      <c r="F10" s="13">
        <v>9</v>
      </c>
      <c r="G10" s="13">
        <v>9.5</v>
      </c>
      <c r="H10" s="13"/>
      <c r="I10" s="16"/>
      <c r="J10" s="16">
        <v>10</v>
      </c>
      <c r="K10" s="16">
        <v>9.5</v>
      </c>
      <c r="L10" s="18">
        <f t="shared" si="0"/>
        <v>9.6</v>
      </c>
      <c r="M10" s="16" t="s">
        <v>22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2304664171</v>
      </c>
      <c r="C11" s="24" t="s">
        <v>991</v>
      </c>
      <c r="D11" s="22" t="s">
        <v>24</v>
      </c>
      <c r="E11" s="13" t="s">
        <v>1016</v>
      </c>
      <c r="F11" s="13">
        <v>5</v>
      </c>
      <c r="G11" s="13">
        <v>9.5</v>
      </c>
      <c r="H11" s="13"/>
      <c r="I11" s="16"/>
      <c r="J11" s="16">
        <v>10</v>
      </c>
      <c r="K11" s="16">
        <v>10</v>
      </c>
      <c r="L11" s="18">
        <f t="shared" si="0"/>
        <v>9.1999999999999993</v>
      </c>
      <c r="M11" s="16" t="s">
        <v>33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2304664174</v>
      </c>
      <c r="C12" s="25" t="s">
        <v>1017</v>
      </c>
      <c r="D12" s="23" t="s">
        <v>24</v>
      </c>
      <c r="E12" s="15" t="s">
        <v>1018</v>
      </c>
      <c r="F12" s="15">
        <v>10</v>
      </c>
      <c r="G12" s="15">
        <v>8.5</v>
      </c>
      <c r="H12" s="15"/>
      <c r="I12" s="17"/>
      <c r="J12" s="17">
        <v>10</v>
      </c>
      <c r="K12" s="17">
        <v>9.5</v>
      </c>
      <c r="L12" s="19">
        <f t="shared" si="0"/>
        <v>9.6</v>
      </c>
      <c r="M12" s="17" t="s">
        <v>22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2304664175</v>
      </c>
      <c r="C13" s="24" t="s">
        <v>999</v>
      </c>
      <c r="D13" s="22" t="s">
        <v>1019</v>
      </c>
      <c r="E13" s="13" t="s">
        <v>389</v>
      </c>
      <c r="F13" s="13">
        <v>10</v>
      </c>
      <c r="G13" s="13">
        <v>7.5</v>
      </c>
      <c r="H13" s="13"/>
      <c r="I13" s="16"/>
      <c r="J13" s="16">
        <v>10</v>
      </c>
      <c r="K13" s="16">
        <v>10</v>
      </c>
      <c r="L13" s="18">
        <f t="shared" si="0"/>
        <v>9.6</v>
      </c>
      <c r="M13" s="16" t="s">
        <v>22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2304664176</v>
      </c>
      <c r="C14" s="24" t="s">
        <v>940</v>
      </c>
      <c r="D14" s="22" t="s">
        <v>157</v>
      </c>
      <c r="E14" s="13" t="s">
        <v>1020</v>
      </c>
      <c r="F14" s="13">
        <v>8</v>
      </c>
      <c r="G14" s="13">
        <v>8</v>
      </c>
      <c r="H14" s="13"/>
      <c r="I14" s="16"/>
      <c r="J14" s="16">
        <v>10</v>
      </c>
      <c r="K14" s="16">
        <v>6.5</v>
      </c>
      <c r="L14" s="18">
        <f t="shared" si="0"/>
        <v>7.9</v>
      </c>
      <c r="M14" s="16" t="s">
        <v>22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2304664177</v>
      </c>
      <c r="C15" s="24" t="s">
        <v>940</v>
      </c>
      <c r="D15" s="22" t="s">
        <v>157</v>
      </c>
      <c r="E15" s="13" t="s">
        <v>1021</v>
      </c>
      <c r="F15" s="13">
        <v>8</v>
      </c>
      <c r="G15" s="13">
        <v>8.5</v>
      </c>
      <c r="H15" s="13"/>
      <c r="I15" s="16"/>
      <c r="J15" s="16">
        <v>10</v>
      </c>
      <c r="K15" s="16">
        <v>10</v>
      </c>
      <c r="L15" s="18">
        <f t="shared" si="0"/>
        <v>9.5</v>
      </c>
      <c r="M15" s="16" t="s">
        <v>22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2304664178</v>
      </c>
      <c r="C16" s="24" t="s">
        <v>1022</v>
      </c>
      <c r="D16" s="22" t="s">
        <v>456</v>
      </c>
      <c r="E16" s="13" t="s">
        <v>1023</v>
      </c>
      <c r="F16" s="13">
        <v>8</v>
      </c>
      <c r="G16" s="13">
        <v>9</v>
      </c>
      <c r="H16" s="13"/>
      <c r="I16" s="16"/>
      <c r="J16" s="16">
        <v>10</v>
      </c>
      <c r="K16" s="16">
        <v>5</v>
      </c>
      <c r="L16" s="18">
        <f t="shared" si="0"/>
        <v>7.4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2304664179</v>
      </c>
      <c r="C17" s="25" t="s">
        <v>121</v>
      </c>
      <c r="D17" s="23" t="s">
        <v>1024</v>
      </c>
      <c r="E17" s="15" t="s">
        <v>867</v>
      </c>
      <c r="F17" s="15">
        <v>10</v>
      </c>
      <c r="G17" s="15">
        <v>9.5</v>
      </c>
      <c r="H17" s="15"/>
      <c r="I17" s="17"/>
      <c r="J17" s="17">
        <v>10</v>
      </c>
      <c r="K17" s="17">
        <v>5</v>
      </c>
      <c r="L17" s="19">
        <f t="shared" si="0"/>
        <v>7.8</v>
      </c>
      <c r="M17" s="17" t="s">
        <v>22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2304664180</v>
      </c>
      <c r="C18" s="24" t="s">
        <v>1025</v>
      </c>
      <c r="D18" s="22" t="s">
        <v>147</v>
      </c>
      <c r="E18" s="13" t="s">
        <v>1026</v>
      </c>
      <c r="F18" s="13">
        <v>6</v>
      </c>
      <c r="G18" s="13">
        <v>6</v>
      </c>
      <c r="H18" s="13"/>
      <c r="I18" s="16"/>
      <c r="J18" s="16">
        <v>10</v>
      </c>
      <c r="K18" s="16">
        <v>5</v>
      </c>
      <c r="L18" s="18">
        <f t="shared" si="0"/>
        <v>6.7</v>
      </c>
      <c r="M18" s="16" t="s">
        <v>33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2304664181</v>
      </c>
      <c r="C19" s="24" t="s">
        <v>1027</v>
      </c>
      <c r="D19" s="22" t="s">
        <v>44</v>
      </c>
      <c r="E19" s="13" t="s">
        <v>650</v>
      </c>
      <c r="F19" s="13">
        <v>8</v>
      </c>
      <c r="G19" s="13">
        <v>7.5</v>
      </c>
      <c r="H19" s="13"/>
      <c r="I19" s="16"/>
      <c r="J19" s="16">
        <v>9.5</v>
      </c>
      <c r="K19" s="16">
        <v>5</v>
      </c>
      <c r="L19" s="18">
        <f t="shared" si="0"/>
        <v>7.1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2304664182</v>
      </c>
      <c r="C20" s="24" t="s">
        <v>1028</v>
      </c>
      <c r="D20" s="22" t="s">
        <v>190</v>
      </c>
      <c r="E20" s="13" t="s">
        <v>1029</v>
      </c>
      <c r="F20" s="13">
        <v>8</v>
      </c>
      <c r="G20" s="13">
        <v>9.5</v>
      </c>
      <c r="H20" s="13"/>
      <c r="I20" s="16"/>
      <c r="J20" s="16">
        <v>10</v>
      </c>
      <c r="K20" s="16">
        <v>7</v>
      </c>
      <c r="L20" s="18">
        <f t="shared" si="0"/>
        <v>8.4</v>
      </c>
      <c r="M20" s="16" t="s">
        <v>22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2304664212</v>
      </c>
      <c r="C21" s="24" t="s">
        <v>1030</v>
      </c>
      <c r="D21" s="22" t="s">
        <v>72</v>
      </c>
      <c r="E21" s="13" t="s">
        <v>1031</v>
      </c>
      <c r="F21" s="13">
        <v>9</v>
      </c>
      <c r="G21" s="13">
        <v>8.5</v>
      </c>
      <c r="H21" s="13"/>
      <c r="I21" s="16"/>
      <c r="J21" s="16">
        <v>10</v>
      </c>
      <c r="K21" s="16">
        <v>10</v>
      </c>
      <c r="L21" s="18">
        <f t="shared" si="0"/>
        <v>9.6</v>
      </c>
      <c r="M21" s="16" t="s">
        <v>22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2304664185</v>
      </c>
      <c r="C22" s="25" t="s">
        <v>1032</v>
      </c>
      <c r="D22" s="23" t="s">
        <v>72</v>
      </c>
      <c r="E22" s="15" t="s">
        <v>1033</v>
      </c>
      <c r="F22" s="15">
        <v>10</v>
      </c>
      <c r="G22" s="15">
        <v>9</v>
      </c>
      <c r="H22" s="15"/>
      <c r="I22" s="17"/>
      <c r="J22" s="17">
        <v>10</v>
      </c>
      <c r="K22" s="17">
        <v>5</v>
      </c>
      <c r="L22" s="19">
        <f t="shared" si="0"/>
        <v>7.7</v>
      </c>
      <c r="M22" s="17" t="s">
        <v>22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2304664186</v>
      </c>
      <c r="C23" s="24" t="s">
        <v>794</v>
      </c>
      <c r="D23" s="22" t="s">
        <v>72</v>
      </c>
      <c r="E23" s="13" t="s">
        <v>872</v>
      </c>
      <c r="F23" s="13">
        <v>6</v>
      </c>
      <c r="G23" s="13">
        <v>9</v>
      </c>
      <c r="H23" s="13"/>
      <c r="I23" s="16"/>
      <c r="J23" s="16">
        <v>10</v>
      </c>
      <c r="K23" s="16">
        <v>9.5</v>
      </c>
      <c r="L23" s="18">
        <f t="shared" si="0"/>
        <v>9.1</v>
      </c>
      <c r="M23" s="16" t="s">
        <v>33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2304664187</v>
      </c>
      <c r="C24" s="24" t="s">
        <v>601</v>
      </c>
      <c r="D24" s="22" t="s">
        <v>1034</v>
      </c>
      <c r="E24" s="13" t="s">
        <v>1035</v>
      </c>
      <c r="F24" s="13">
        <v>7</v>
      </c>
      <c r="G24" s="13">
        <v>10</v>
      </c>
      <c r="H24" s="13"/>
      <c r="I24" s="16"/>
      <c r="J24" s="16">
        <v>9.5</v>
      </c>
      <c r="K24" s="16">
        <v>8</v>
      </c>
      <c r="L24" s="18">
        <f t="shared" si="0"/>
        <v>8.6</v>
      </c>
      <c r="M24" s="16" t="s">
        <v>42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2304664188</v>
      </c>
      <c r="C25" s="24" t="s">
        <v>1036</v>
      </c>
      <c r="D25" s="22" t="s">
        <v>896</v>
      </c>
      <c r="E25" s="13" t="s">
        <v>1037</v>
      </c>
      <c r="F25" s="13">
        <v>9</v>
      </c>
      <c r="G25" s="13">
        <v>8</v>
      </c>
      <c r="H25" s="13"/>
      <c r="I25" s="16"/>
      <c r="J25" s="16">
        <v>10</v>
      </c>
      <c r="K25" s="16">
        <v>10</v>
      </c>
      <c r="L25" s="18">
        <f t="shared" si="0"/>
        <v>9.6</v>
      </c>
      <c r="M25" s="16" t="s">
        <v>22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2304664191</v>
      </c>
      <c r="C26" s="24" t="s">
        <v>1038</v>
      </c>
      <c r="D26" s="22" t="s">
        <v>108</v>
      </c>
      <c r="E26" s="13" t="s">
        <v>1039</v>
      </c>
      <c r="F26" s="13">
        <v>9</v>
      </c>
      <c r="G26" s="13">
        <v>9.5</v>
      </c>
      <c r="H26" s="13"/>
      <c r="I26" s="16"/>
      <c r="J26" s="16">
        <v>10</v>
      </c>
      <c r="K26" s="16">
        <v>10</v>
      </c>
      <c r="L26" s="18">
        <f t="shared" si="0"/>
        <v>9.8000000000000007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2304664192</v>
      </c>
      <c r="C27" s="25" t="s">
        <v>94</v>
      </c>
      <c r="D27" s="23" t="s">
        <v>744</v>
      </c>
      <c r="E27" s="15" t="s">
        <v>1040</v>
      </c>
      <c r="F27" s="15">
        <v>9</v>
      </c>
      <c r="G27" s="15">
        <v>10</v>
      </c>
      <c r="H27" s="15"/>
      <c r="I27" s="17"/>
      <c r="J27" s="17">
        <v>9</v>
      </c>
      <c r="K27" s="17">
        <v>7.5</v>
      </c>
      <c r="L27" s="19">
        <f t="shared" si="0"/>
        <v>8.5</v>
      </c>
      <c r="M27" s="17" t="s">
        <v>22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2304664193</v>
      </c>
      <c r="C28" s="24" t="s">
        <v>1041</v>
      </c>
      <c r="D28" s="22" t="s">
        <v>111</v>
      </c>
      <c r="E28" s="13" t="s">
        <v>923</v>
      </c>
      <c r="F28" s="13">
        <v>8</v>
      </c>
      <c r="G28" s="13">
        <v>8</v>
      </c>
      <c r="H28" s="13"/>
      <c r="I28" s="16"/>
      <c r="J28" s="16">
        <v>7.5</v>
      </c>
      <c r="K28" s="16">
        <v>5</v>
      </c>
      <c r="L28" s="18">
        <f t="shared" si="0"/>
        <v>6.6</v>
      </c>
      <c r="M28" s="16" t="s">
        <v>22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2304664194</v>
      </c>
      <c r="C29" s="24" t="s">
        <v>940</v>
      </c>
      <c r="D29" s="22" t="s">
        <v>1042</v>
      </c>
      <c r="E29" s="13" t="s">
        <v>1043</v>
      </c>
      <c r="F29" s="13">
        <v>5</v>
      </c>
      <c r="G29" s="13">
        <v>9</v>
      </c>
      <c r="H29" s="13"/>
      <c r="I29" s="16"/>
      <c r="J29" s="16">
        <v>10</v>
      </c>
      <c r="K29" s="16">
        <v>5</v>
      </c>
      <c r="L29" s="18">
        <f t="shared" si="0"/>
        <v>7</v>
      </c>
      <c r="M29" s="16" t="s">
        <v>33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2304664195</v>
      </c>
      <c r="C30" s="24" t="s">
        <v>1044</v>
      </c>
      <c r="D30" s="22" t="s">
        <v>331</v>
      </c>
      <c r="E30" s="13" t="s">
        <v>1045</v>
      </c>
      <c r="F30" s="13">
        <v>9</v>
      </c>
      <c r="G30" s="13">
        <v>10</v>
      </c>
      <c r="H30" s="13"/>
      <c r="I30" s="16"/>
      <c r="J30" s="16">
        <v>10</v>
      </c>
      <c r="K30" s="16">
        <v>9.5</v>
      </c>
      <c r="L30" s="18">
        <f t="shared" si="0"/>
        <v>9.6</v>
      </c>
      <c r="M30" s="16" t="s">
        <v>22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2304664196</v>
      </c>
      <c r="C31" s="24" t="s">
        <v>1046</v>
      </c>
      <c r="D31" s="22" t="s">
        <v>331</v>
      </c>
      <c r="E31" s="13" t="s">
        <v>516</v>
      </c>
      <c r="F31" s="13">
        <v>8</v>
      </c>
      <c r="G31" s="13">
        <v>10</v>
      </c>
      <c r="H31" s="13"/>
      <c r="I31" s="16"/>
      <c r="J31" s="16">
        <v>10</v>
      </c>
      <c r="K31" s="16">
        <v>6</v>
      </c>
      <c r="L31" s="18">
        <f t="shared" si="0"/>
        <v>8</v>
      </c>
      <c r="M31" s="16" t="s">
        <v>22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2304664216</v>
      </c>
      <c r="C32" s="25" t="s">
        <v>1047</v>
      </c>
      <c r="D32" s="23" t="s">
        <v>224</v>
      </c>
      <c r="E32" s="15" t="s">
        <v>969</v>
      </c>
      <c r="F32" s="15">
        <v>7</v>
      </c>
      <c r="G32" s="15">
        <v>8</v>
      </c>
      <c r="H32" s="15"/>
      <c r="I32" s="17"/>
      <c r="J32" s="17">
        <v>10</v>
      </c>
      <c r="K32" s="17">
        <v>6.5</v>
      </c>
      <c r="L32" s="19">
        <f t="shared" si="0"/>
        <v>7.8</v>
      </c>
      <c r="M32" s="17" t="s">
        <v>42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2304664197</v>
      </c>
      <c r="C33" s="24" t="s">
        <v>1048</v>
      </c>
      <c r="D33" s="22" t="s">
        <v>1049</v>
      </c>
      <c r="E33" s="13" t="s">
        <v>1050</v>
      </c>
      <c r="F33" s="13">
        <v>6</v>
      </c>
      <c r="G33" s="13">
        <v>10</v>
      </c>
      <c r="H33" s="13"/>
      <c r="I33" s="16"/>
      <c r="J33" s="16">
        <v>10</v>
      </c>
      <c r="K33" s="16">
        <v>10</v>
      </c>
      <c r="L33" s="18">
        <f t="shared" si="0"/>
        <v>9.4</v>
      </c>
      <c r="M33" s="16" t="s">
        <v>33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2304664198</v>
      </c>
      <c r="C34" s="24" t="s">
        <v>1051</v>
      </c>
      <c r="D34" s="22" t="s">
        <v>120</v>
      </c>
      <c r="E34" s="13" t="s">
        <v>1052</v>
      </c>
      <c r="F34" s="13">
        <v>9</v>
      </c>
      <c r="G34" s="13">
        <v>9</v>
      </c>
      <c r="H34" s="13"/>
      <c r="I34" s="16"/>
      <c r="J34" s="16">
        <v>10</v>
      </c>
      <c r="K34" s="16">
        <v>10</v>
      </c>
      <c r="L34" s="18">
        <f t="shared" si="0"/>
        <v>9.6999999999999993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2304664199</v>
      </c>
      <c r="C35" s="24" t="s">
        <v>1053</v>
      </c>
      <c r="D35" s="22" t="s">
        <v>1054</v>
      </c>
      <c r="E35" s="13" t="s">
        <v>1012</v>
      </c>
      <c r="F35" s="13">
        <v>8</v>
      </c>
      <c r="G35" s="13">
        <v>10</v>
      </c>
      <c r="H35" s="13"/>
      <c r="I35" s="16"/>
      <c r="J35" s="16">
        <v>10</v>
      </c>
      <c r="K35" s="16">
        <v>6</v>
      </c>
      <c r="L35" s="18">
        <f t="shared" si="0"/>
        <v>8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2304664220</v>
      </c>
      <c r="C36" s="24" t="s">
        <v>1055</v>
      </c>
      <c r="D36" s="22" t="s">
        <v>122</v>
      </c>
      <c r="E36" s="13" t="s">
        <v>966</v>
      </c>
      <c r="F36" s="13">
        <v>6</v>
      </c>
      <c r="G36" s="13">
        <v>9</v>
      </c>
      <c r="H36" s="13"/>
      <c r="I36" s="16"/>
      <c r="J36" s="16">
        <v>10</v>
      </c>
      <c r="K36" s="16">
        <v>5</v>
      </c>
      <c r="L36" s="18">
        <f t="shared" si="0"/>
        <v>7.1</v>
      </c>
      <c r="M36" s="16" t="s">
        <v>33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2304664202</v>
      </c>
      <c r="C37" s="25" t="s">
        <v>1056</v>
      </c>
      <c r="D37" s="23" t="s">
        <v>122</v>
      </c>
      <c r="E37" s="15" t="s">
        <v>1057</v>
      </c>
      <c r="F37" s="15">
        <v>9</v>
      </c>
      <c r="G37" s="15">
        <v>7.5</v>
      </c>
      <c r="H37" s="15"/>
      <c r="I37" s="17"/>
      <c r="J37" s="17">
        <v>10</v>
      </c>
      <c r="K37" s="17">
        <v>10</v>
      </c>
      <c r="L37" s="19">
        <f t="shared" si="0"/>
        <v>9.5</v>
      </c>
      <c r="M37" s="17" t="s">
        <v>22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2304664203</v>
      </c>
      <c r="C38" s="24" t="s">
        <v>471</v>
      </c>
      <c r="D38" s="22" t="s">
        <v>236</v>
      </c>
      <c r="E38" s="13" t="s">
        <v>780</v>
      </c>
      <c r="F38" s="13">
        <v>10</v>
      </c>
      <c r="G38" s="13">
        <v>10</v>
      </c>
      <c r="H38" s="13"/>
      <c r="I38" s="16"/>
      <c r="J38" s="16">
        <v>10</v>
      </c>
      <c r="K38" s="16">
        <v>7.5</v>
      </c>
      <c r="L38" s="18">
        <f t="shared" si="0"/>
        <v>8.9</v>
      </c>
      <c r="M38" s="16" t="s">
        <v>22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2304664214</v>
      </c>
      <c r="C39" s="24" t="s">
        <v>1058</v>
      </c>
      <c r="D39" s="22" t="s">
        <v>241</v>
      </c>
      <c r="E39" s="13" t="s">
        <v>871</v>
      </c>
      <c r="F39" s="13">
        <v>8</v>
      </c>
      <c r="G39" s="13">
        <v>8.5</v>
      </c>
      <c r="H39" s="13"/>
      <c r="I39" s="16"/>
      <c r="J39" s="16">
        <v>10</v>
      </c>
      <c r="K39" s="16">
        <v>8.5</v>
      </c>
      <c r="L39" s="18">
        <f t="shared" si="0"/>
        <v>8.9</v>
      </c>
      <c r="M39" s="16" t="s">
        <v>22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2304664200</v>
      </c>
      <c r="C40" s="24" t="s">
        <v>603</v>
      </c>
      <c r="D40" s="22" t="s">
        <v>439</v>
      </c>
      <c r="E40" s="13" t="s">
        <v>362</v>
      </c>
      <c r="F40" s="13">
        <v>7</v>
      </c>
      <c r="G40" s="13">
        <v>9</v>
      </c>
      <c r="H40" s="13"/>
      <c r="I40" s="16"/>
      <c r="J40" s="16">
        <v>10</v>
      </c>
      <c r="K40" s="16">
        <v>7</v>
      </c>
      <c r="L40" s="18">
        <f t="shared" si="0"/>
        <v>8.1</v>
      </c>
      <c r="M40" s="16" t="s">
        <v>42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2304664205</v>
      </c>
      <c r="C41" s="24" t="s">
        <v>1059</v>
      </c>
      <c r="D41" s="22" t="s">
        <v>345</v>
      </c>
      <c r="E41" s="13" t="s">
        <v>1060</v>
      </c>
      <c r="F41" s="13">
        <v>10</v>
      </c>
      <c r="G41" s="13">
        <v>10</v>
      </c>
      <c r="H41" s="13"/>
      <c r="I41" s="16"/>
      <c r="J41" s="16">
        <v>10</v>
      </c>
      <c r="K41" s="16">
        <v>10</v>
      </c>
      <c r="L41" s="18">
        <f t="shared" si="0"/>
        <v>10</v>
      </c>
      <c r="M41" s="16" t="s">
        <v>22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2304664207</v>
      </c>
      <c r="C42" s="25" t="s">
        <v>1061</v>
      </c>
      <c r="D42" s="23" t="s">
        <v>255</v>
      </c>
      <c r="E42" s="15" t="s">
        <v>959</v>
      </c>
      <c r="F42" s="15">
        <v>6</v>
      </c>
      <c r="G42" s="15">
        <v>10</v>
      </c>
      <c r="H42" s="15"/>
      <c r="I42" s="17"/>
      <c r="J42" s="17">
        <v>10</v>
      </c>
      <c r="K42" s="17">
        <v>9</v>
      </c>
      <c r="L42" s="19">
        <f t="shared" si="0"/>
        <v>9</v>
      </c>
      <c r="M42" s="17" t="s">
        <v>33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2304664201</v>
      </c>
      <c r="C43" s="24" t="s">
        <v>49</v>
      </c>
      <c r="D43" s="22" t="s">
        <v>1062</v>
      </c>
      <c r="E43" s="13" t="s">
        <v>1063</v>
      </c>
      <c r="F43" s="13">
        <v>8</v>
      </c>
      <c r="G43" s="13">
        <v>10</v>
      </c>
      <c r="H43" s="13"/>
      <c r="I43" s="16"/>
      <c r="J43" s="16">
        <v>10</v>
      </c>
      <c r="K43" s="16">
        <v>8</v>
      </c>
      <c r="L43" s="18">
        <f t="shared" si="0"/>
        <v>8.9</v>
      </c>
      <c r="M43" s="16" t="s">
        <v>22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2304664211</v>
      </c>
      <c r="C44" s="24" t="s">
        <v>1064</v>
      </c>
      <c r="D44" s="22" t="s">
        <v>1065</v>
      </c>
      <c r="E44" s="13" t="s">
        <v>864</v>
      </c>
      <c r="F44" s="13">
        <v>9</v>
      </c>
      <c r="G44" s="13">
        <v>9.5</v>
      </c>
      <c r="H44" s="13"/>
      <c r="I44" s="16"/>
      <c r="J44" s="16">
        <v>10</v>
      </c>
      <c r="K44" s="16">
        <v>9.5</v>
      </c>
      <c r="L44" s="18">
        <f t="shared" si="0"/>
        <v>9.6</v>
      </c>
      <c r="M44" s="16" t="s">
        <v>22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2304664208</v>
      </c>
      <c r="C45" s="24" t="s">
        <v>1066</v>
      </c>
      <c r="D45" s="22" t="s">
        <v>841</v>
      </c>
      <c r="E45" s="13" t="s">
        <v>939</v>
      </c>
      <c r="F45" s="13">
        <v>7</v>
      </c>
      <c r="G45" s="13">
        <v>8.5</v>
      </c>
      <c r="H45" s="13"/>
      <c r="I45" s="16"/>
      <c r="J45" s="16">
        <v>10</v>
      </c>
      <c r="K45" s="16">
        <v>6</v>
      </c>
      <c r="L45" s="18">
        <f t="shared" si="0"/>
        <v>7.6</v>
      </c>
      <c r="M45" s="16" t="s">
        <v>42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2304664218</v>
      </c>
      <c r="C46" s="24" t="s">
        <v>423</v>
      </c>
      <c r="D46" s="22" t="s">
        <v>139</v>
      </c>
      <c r="E46" s="13" t="s">
        <v>449</v>
      </c>
      <c r="F46" s="13">
        <v>6</v>
      </c>
      <c r="G46" s="13">
        <v>10</v>
      </c>
      <c r="H46" s="13"/>
      <c r="I46" s="16"/>
      <c r="J46" s="16">
        <v>10</v>
      </c>
      <c r="K46" s="16">
        <v>7.5</v>
      </c>
      <c r="L46" s="18">
        <f t="shared" si="0"/>
        <v>8.4</v>
      </c>
      <c r="M46" s="16" t="s">
        <v>33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2304664210</v>
      </c>
      <c r="C47" s="25" t="s">
        <v>611</v>
      </c>
      <c r="D47" s="23" t="s">
        <v>612</v>
      </c>
      <c r="E47" s="15" t="s">
        <v>864</v>
      </c>
      <c r="F47" s="15">
        <v>9</v>
      </c>
      <c r="G47" s="15">
        <v>10</v>
      </c>
      <c r="H47" s="15"/>
      <c r="I47" s="17"/>
      <c r="J47" s="17">
        <v>10</v>
      </c>
      <c r="K47" s="17">
        <v>8.5</v>
      </c>
      <c r="L47" s="19">
        <f t="shared" si="0"/>
        <v>9.1999999999999993</v>
      </c>
      <c r="M47" s="17" t="s">
        <v>22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1">
        <v>41</v>
      </c>
      <c r="B48" s="15">
        <v>2304672433</v>
      </c>
      <c r="C48" s="25" t="s">
        <v>1067</v>
      </c>
      <c r="D48" s="23" t="s">
        <v>24</v>
      </c>
      <c r="E48" s="15" t="s">
        <v>564</v>
      </c>
      <c r="F48" s="15">
        <v>10</v>
      </c>
      <c r="G48" s="15">
        <v>9</v>
      </c>
      <c r="H48" s="15"/>
      <c r="I48" s="17"/>
      <c r="J48" s="17">
        <v>10</v>
      </c>
      <c r="K48" s="17">
        <v>9.5</v>
      </c>
      <c r="L48" s="19">
        <f t="shared" si="0"/>
        <v>9.6</v>
      </c>
      <c r="M48" s="17" t="s">
        <v>274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39" t="s">
        <v>141</v>
      </c>
      <c r="B49" s="40"/>
      <c r="C49" s="41"/>
      <c r="D49" s="41"/>
      <c r="E49" s="41"/>
      <c r="F49" s="40"/>
      <c r="G49" s="40"/>
      <c r="H49" s="40"/>
      <c r="I49" s="40"/>
      <c r="J49" s="42"/>
      <c r="K49" s="8"/>
      <c r="L49" s="9"/>
      <c r="M49" s="10"/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43"/>
      <c r="B50" s="33"/>
      <c r="C50" s="44"/>
      <c r="D50" s="45"/>
      <c r="E50" s="45"/>
      <c r="F50" s="46"/>
      <c r="G50" s="46"/>
      <c r="H50" s="46"/>
      <c r="I50" s="46"/>
      <c r="J50" s="47"/>
    </row>
    <row r="51" spans="1:37" ht="12.75" customHeight="1" x14ac:dyDescent="0.35">
      <c r="A51" s="48" t="s">
        <v>142</v>
      </c>
      <c r="B51" s="33"/>
      <c r="C51" s="44"/>
      <c r="D51" s="45" t="s">
        <v>143</v>
      </c>
      <c r="E51" s="45"/>
      <c r="F51" s="46" t="str">
        <f>TEXT(COUNTIF(L8:L48,"&gt;="&amp;Q51),"#0")</f>
        <v>30</v>
      </c>
      <c r="G51" s="46"/>
      <c r="H51" s="31" t="s">
        <v>144</v>
      </c>
      <c r="I51" s="46" t="str">
        <f>ROUND(F51/IF(COUNTIF(L8:L48,"&gt;=0")=0,1,COUNTIF(L8:L48,"&gt;=0")),4)*100&amp;"%"</f>
        <v>73.17%</v>
      </c>
      <c r="J51" s="47"/>
      <c r="Q51" s="26">
        <v>7.95</v>
      </c>
    </row>
    <row r="52" spans="1:37" ht="12.75" customHeight="1" x14ac:dyDescent="0.35">
      <c r="A52" s="43" t="s">
        <v>145</v>
      </c>
      <c r="B52" s="33"/>
      <c r="C52" s="44"/>
      <c r="D52" s="45" t="s">
        <v>146</v>
      </c>
      <c r="E52" s="45"/>
      <c r="F52" s="46" t="str">
        <f>TEXT(COUNTIF(L8:L48,"&gt;="&amp;Q52)-F51,"#0")</f>
        <v>11</v>
      </c>
      <c r="G52" s="46"/>
      <c r="H52" s="31" t="s">
        <v>144</v>
      </c>
      <c r="I52" s="46" t="str">
        <f>ROUND(F52/IF(COUNTIF(L8:L48,"&gt;=0")=0,1,COUNTIF(L8:L48,"&gt;=0")),4)*100&amp;"%"</f>
        <v>26.83%</v>
      </c>
      <c r="J52" s="47"/>
      <c r="Q52" s="26">
        <v>6.45</v>
      </c>
    </row>
    <row r="53" spans="1:37" ht="12.75" customHeight="1" x14ac:dyDescent="0.35">
      <c r="A53" s="27"/>
      <c r="D53" s="45" t="s">
        <v>147</v>
      </c>
      <c r="E53" s="45"/>
      <c r="F53" s="46" t="str">
        <f>TEXT(COUNTIF(L8:L48,"&gt;="&amp;Q53)-F52-F51,"#0")</f>
        <v>0</v>
      </c>
      <c r="G53" s="46"/>
      <c r="H53" s="31" t="s">
        <v>144</v>
      </c>
      <c r="I53" s="46" t="str">
        <f>ROUND(F53/IF(COUNTIF(L8:L48,"&gt;=0")=0,1,COUNTIF(L8:L48,"&gt;=0")),4)*100&amp;"%"</f>
        <v>0%</v>
      </c>
      <c r="J53" s="47"/>
      <c r="Q53" s="26">
        <v>4.95</v>
      </c>
    </row>
    <row r="54" spans="1:37" ht="12.75" customHeight="1" x14ac:dyDescent="0.35">
      <c r="A54" s="28"/>
      <c r="B54" s="29"/>
      <c r="C54" s="30"/>
      <c r="D54" s="49" t="s">
        <v>148</v>
      </c>
      <c r="E54" s="49"/>
      <c r="F54" s="50" t="str">
        <f>TEXT(COUNTIF(L8:L48,"&gt;=0")-F50-F51-F52-F53,"#0")</f>
        <v>0</v>
      </c>
      <c r="G54" s="50"/>
      <c r="H54" s="32" t="s">
        <v>144</v>
      </c>
      <c r="I54" s="50" t="str">
        <f>ROUND(F54/IF(COUNTIF(L8:L48,"&gt;=0")=0,1,COUNTIF(L8:L48,"&gt;=0")),4)*100&amp;"%"</f>
        <v>0%</v>
      </c>
      <c r="J54" s="51"/>
    </row>
    <row r="65536" ht="14.5" x14ac:dyDescent="0.35"/>
  </sheetData>
  <mergeCells count="32">
    <mergeCell ref="D53:E53"/>
    <mergeCell ref="F53:G53"/>
    <mergeCell ref="I53:J53"/>
    <mergeCell ref="D54:E54"/>
    <mergeCell ref="F54:G54"/>
    <mergeCell ref="I54:J54"/>
    <mergeCell ref="A49:J50"/>
    <mergeCell ref="A51:C51"/>
    <mergeCell ref="D51:E51"/>
    <mergeCell ref="F51:G51"/>
    <mergeCell ref="I51:J51"/>
    <mergeCell ref="A52:C52"/>
    <mergeCell ref="D52:E52"/>
    <mergeCell ref="F52:G52"/>
    <mergeCell ref="I52:J52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48">
    <dataValidation type="list" allowBlank="1" showInputMessage="1" showErrorMessage="1" errorTitle="Thông báo" error="Bạn phải nhập [Đạt] = d, Đ, đ, 1   [Chưa đạt] = c, CĐ, cđ, 2" sqref="C5" xr:uid="{1C164D54-B103-47E9-83F3-E0DEF1991597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D2795650-3C81-4FC0-84A5-B60F61B13014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76E545AC-202C-4C33-9876-EF3E5985FAD3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98B755E8-EA8D-4089-84E1-EFDB300868CA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0845E3A5-DC9E-420A-8AF4-59C482D1946A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E6348295-D75F-460E-8901-FED57B3B5824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03444471-8BCC-4658-8D3C-750109F0133E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FF56F118-FCA1-4194-A02C-1CDDA50F3AA5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DFA8C528-B4D7-451E-A20A-C497B28EF2C2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F59E5238-8B24-4E43-8D3D-BBFFA5200180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EFDBFDD5-A665-416F-8202-A6E2000DB39A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8E358825-5894-4CC3-8ACF-2D7659A4D710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47498865-31A5-41F9-82CD-5F485C50C479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43E71BCB-7C0F-4253-A2DB-C26141523054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C4BE08EA-325B-48E3-91F4-3EC105568751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3C19AEF1-2169-4584-B35C-487897A44212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DDBDCEFF-9576-470E-81D2-DD09810C3D5A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CA53CB10-6A11-45FF-B702-7FEF8AD9C1F1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5DCD3909-0AD2-4755-865B-3A54A611B81A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11F07E66-A55D-4CC0-B99C-071D0FA75611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9C38EDAD-47AA-40BB-91C8-079782CA738B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0B965E3C-E152-43F5-9DFA-EE068E38747B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2B94DF6A-AD53-495D-B957-B0F2D63AE60C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94DCA198-4E48-4A31-8D6B-B8EBB889E18A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182491F5-4BC3-455D-86F5-959B0AF64A4D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AEE38F44-0FD2-466E-8DBA-EB438DD12224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A9568E2D-3FC6-4A76-A30F-EDED782EF43E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6D29248C-5144-40F0-89A9-B8BAF89D6AB8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400B562C-A829-4B73-AA1E-21EACBD54F90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45ABEF81-955F-4D2A-A5C0-ECF4C4074FAA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21B945F1-E24B-40E8-B275-D489BF72F434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82C0784C-AC4B-4A08-BA26-EFBBAAF51A35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2A0E5E06-0C1A-4075-9CE9-ACEBD3F54290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8F243972-EB05-4A19-B80A-E8E4A5CC68DE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433077D8-5E61-441F-A28E-D2BD08717303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C7A26873-59ED-43D0-A57C-EAB91476AAEE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AE57C7C4-FFD3-4C76-B239-3CEAF927B9B2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DF65F6D7-A72E-4CF7-A949-8D9B4B235190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3B5DAD26-7BF1-429A-B506-1C0C7E264B1C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4920C7FE-3A73-49A9-BCE6-6EE4261523AE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E7CBF9DC-8448-4568-92A0-E84D84BF0CD1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0DC247AE-CE2F-497D-BF26-FCC102C0CE78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E55B675F-8A48-4062-955D-519BDAB21A0C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B84936A6-6FDA-44C7-AD40-947B3A779F77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B37C5DFD-F9EB-4D1F-8318-8CC8647DB200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D7844C95-59D7-41C4-B2C1-19CF323E04E6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155531F4-D0CB-4B34-8A1C-19AF92783073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45B41383-09FD-47CD-8A27-ED466CECFE0E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0EF2D1D3-F761-48CB-AA99-89198A71D6BC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FA987176-DA87-43CE-BF56-CD725AB4E2EE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B2A6BCD4-0D93-4E60-8B32-5F118C63F110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B5F276FB-5DC6-4443-8052-8AAFBDC51683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58809410-446F-4F3F-9015-450E8703207A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8EC222E3-82E6-49F8-A24D-D1A09C94B35D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7C5C4EB8-A270-4D12-94A3-026BCED63327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54457A57-37FC-4FC6-B160-0E3307D230A6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CE6FD624-817D-45D4-8285-BAA97C733654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9A030808-9B55-45AB-8E1F-572A736C2F53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A8E61C9B-42F4-40AF-974D-3234B66ED297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C2DA40D8-8416-46ED-A078-406E784996CB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9681D2C8-2B61-4B39-8BE3-05A32D7C00DB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7F70F115-9B4C-4931-BE03-018297C5A6ED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8EE35CC8-7DA8-448D-86C4-18E2EA57B7F8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74253CF1-F8CF-4BCA-A79D-87AAFC4F9409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FE1C07BD-82F0-462E-A00E-4F3D8036ECC5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05D6CFC7-D750-43E3-8837-CAEA3154EB83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CDCD7DDA-84A6-48E9-B460-545E16AE5288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A295A7BB-C624-4834-B710-0A2ED8D96CDB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D675F1C1-0CA9-474C-AD39-5D38A510310D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18919EA6-3B22-46E7-811E-83A0D43BD64A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0099B817-A987-47DC-96DC-93CDFA951ADE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182B1221-5BC5-4E24-95AF-3D97D1B759D5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0F295B39-8092-4496-B2F8-81A4506FEDF6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49059924-746A-4BE4-AB56-B2B47E7EE5C3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1A943482-0AFF-4B3C-9316-6838BC4ED6A6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FF2E768D-4B26-4BFC-AAE8-568D2E61EA66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6410D0B3-B758-41C0-876D-C1771A99A09F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0F4A2159-CEB4-43B4-A63B-5C88241D4701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563EFA44-0EDA-4B42-8179-AA812FD84EAB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5BB4425A-8416-4828-BA4C-48E66F833BD7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750294DD-0541-4692-BEEF-0942CBDEAB73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754486D3-5BA3-4391-8495-A779B0832788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267128F6-84A3-44D6-9AB2-525E105C3211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319BADC6-9D27-437E-8CE0-22F27381D5BC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93E1B13F-1169-4411-8242-DE2876E7D2D8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B97F870C-8D28-4D87-9E41-E7B8A40D7D21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BA186DD1-8AEC-4CCC-9F8A-766D2C4F3E27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441CF80C-E67C-4221-BCC8-6435634E76CB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8CDC0ED1-84AA-4911-A945-82C1E2E3215B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51BDC0CF-B46A-4A7C-BD8F-CFC1C4CA5B31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5C4264FE-FEAF-45A6-B441-5848A0C93407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5D7A2FE3-B9C3-4ADD-8878-266FED0F0FC4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6F450D8D-9930-483B-BBA6-88629F515BC5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BAF14C66-0602-4275-BA8D-3272AD5C726E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339EC562-75E2-415D-9B58-03E8CAA1C400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1412B9AB-4FCE-4E0C-B5C7-F3DA2D3DF099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CF077065-2A30-4073-907C-696219AFB78B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60ACCD21-FAFB-4826-93D7-D39BD6F1DE44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9C6F1AEF-A3E5-4FF0-BE47-957771AB254C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EAB3965F-58CC-45E4-819B-2B4315978B66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848EA9F6-81BA-4B7A-8211-5CD63C522705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CE9F9708-6488-4773-9398-160D6DBBB518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9BB06016-C0F1-4616-A0AE-F98F6B0FC505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C4C65EEF-89FA-4CDB-BBCD-6AE98E5B9BC5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FB9A16DE-518F-475F-A859-59E7BAF14243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18742420-F288-4324-8D26-80383516E8B9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89BBD058-037A-49DB-8A3E-D6DDC810BCA2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ED947618-DE97-493C-9CA9-8EE304810485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9D52562F-FA98-4F25-BB6F-E3BDD27BEE83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883CFC95-41BC-4B9F-A152-ABAA825A5B41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579D2471-945D-4379-A087-8394167AB51D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CC0FC2C0-67DC-47A6-B2DD-4B01A81B64DC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FD3E4B64-6B70-4F61-808F-95E941FDBD6B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96051959-1AE2-44E7-A0A3-CCB86A27F9DA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16FC88C4-3FF2-483C-97EA-4522A80EE836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C9863AA0-930F-4BE9-A147-9A55D92874EA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1A00889A-6E05-40A6-A155-01E2D9ED5F4F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6EF8CE09-1054-4435-A829-C4FBA579E6B4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457B9AF7-52D2-4ADA-820D-BE6E2DAD88C7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32D4E857-663E-4389-A7EF-0D99B4CFE94B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D90CD7F5-2496-450B-A9F4-04BBE29FC21C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3BA99CF8-CAE2-4AA9-82D8-A3CB8A60359A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7A3DC4CA-253E-4264-8AA3-DCC1016FF474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0B53A9E3-A85D-4420-B6A0-082D56DC6E2A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35EE9D8F-F0B9-4B0D-BD30-68DFDB908F49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DA5C43CB-7549-4248-8BAC-516600CB9362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35EE322A-683B-499B-AE54-20E5E58792BC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BFF68783-B386-4715-81E7-30897C00E48C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09A9E1F7-D5BC-44FB-8C6F-76ACA903618D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F26466E7-A92C-4F6E-8A02-CB2F1211B7D1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2A5718EB-619B-4CE4-B3E8-DDF2FBB45DD3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7289245A-4CB2-491A-B89B-FEE3321FDA54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50E6C6C8-BF06-4E61-A2F5-0A9471600862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FAF30A5A-2072-421E-B899-03717DECB2D1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10946BB2-EF31-44E0-891B-E81E2B380519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A60B93A8-F4B5-4BEE-BD40-42FCCA8B4DA4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0E914A1E-F7CF-40EE-BE8D-609489BB44A8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FAC57444-7800-4BA4-989F-B7158526B022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14B88257-7B67-429F-9D46-5A691576710B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51E84D06-8BAA-4091-8982-CC2F97FC432A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6353AF46-0323-498E-A939-9C917F471D48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40BCE0AF-C7DA-43AF-AA87-01449DBD5885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14D9CA17-7C1E-41DF-A573-731FC151AC81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9B3AF85B-2274-4280-8EB1-7DF34D9BF1CC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ED300674-E84F-4C6B-AAA8-A3B812C7375D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65F4B76A-717E-4742-8214-C1C5AA4B8726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9CC1429F-59A5-414C-9D0E-162B48781BE4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F47C131A-B309-438F-A7C0-55309DB5BAC3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073F49FE-DB2E-45CD-AEBC-4004D3F141FB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7BCA4C14-CFE2-4354-B988-21E1E0CBC05B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E18DA548-47C1-4DD5-8A41-6C3F3479E6A9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F202C77D-9624-4E17-B891-D6E3F2866EB5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DDF83563-DD42-400E-8A09-8B7526588016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1B5B2319-B1EC-4597-8D49-BBCE0A8CD13B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97B7ECD7-A01B-4EFE-B677-F69A9BAC6C6B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100683D9-0965-4599-8700-7D82722BFFC1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C393542B-24FB-4A26-99D7-E2461838672F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F86C9BF3-768D-4A5C-A3EB-4FAE33B518C9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BBA58E8D-BE1A-4CC0-8DFE-E78E64ECF417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21C3EEA2-44F3-48DD-B6CA-C462AA9A5E27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091F0020-627C-4B04-A108-CD0F7E97424F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070C0D4E-CA85-45F0-AEBD-B9B843498D9B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8082CF2D-4549-4CA4-A5A2-A37854D17B65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2E230F44-D95A-483C-BB89-DAD9E1881655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B3EBF5B6-271C-4DE0-9963-EB9AEEDF9708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F262AB37-FBAB-4295-A44D-480FA2A8E95E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C9439028-C9A6-40B3-9143-17C0DFD66902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51C64A71-B6D8-4186-AC23-9C71727F4C98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77721F12-895A-4723-97FA-149689A73547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9284EA97-37FB-4088-9FF4-A83B43E75DB9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037F30C9-C23D-47D0-951F-3D9276674847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4FE4A662-A42A-4D41-B99C-3D5737DE38A9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96B9F437-4D31-43F0-9410-DA2581D87818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A230DF30-A2B0-458A-834A-CA44FE086140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ABAFC69E-C342-47B5-B6AE-8734CB634A63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9EB4EF49-122A-43CA-9B38-BE63F5E9359B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AD30E1F4-7848-45A2-B045-37AD7D4BE535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A2210EA3-C23E-4E27-B668-D3E944764B05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759384A9-5CC3-4535-A2C7-FE20E4E2060F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71DA0D4E-527D-41C0-B8E1-22F52A9F4405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B5612B94-E783-421E-9A7F-D808FA9FBC5C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458553AE-E24A-45F5-81F9-22F34D03A13A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D86CF462-CFF6-4708-ADF6-5D6CC6FADCED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D2AC31E7-D990-4A31-9348-4234F0CAAA0A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370D614B-E0D1-4C65-8F52-74C7E2EF4AA8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C69FE9AD-36A9-404B-9731-63FA07D88147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6854830C-9977-412F-93AF-E550E50FFAAC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AC5E0BA0-A3C0-4C23-BFC0-0626938F922E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BAF5678F-B0E6-4A2C-807B-ECDE46D1D14C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F5547404-FE4F-4494-9DC3-614AA6078BEA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E0568BFC-724D-4C5D-B220-EB716B776A47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EFC40AA1-AA26-4509-A985-17CC4515B6D7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8AD843A0-60DB-4852-9B6E-D0B0A7EC15FC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8937788F-DBCB-4A03-82DB-DED39BA41284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F5027851-E062-450D-9316-2967AE3FA534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C9BF49A2-01EA-43E2-9B91-A5F9FA27703C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B2A1D11F-3681-41E3-9224-45350256AC42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1F5E68C9-07C8-4DEF-AC4A-8A8108DD7984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63F3FBB9-2344-412A-A5AD-9722F9AB8FC5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1E2466A7-1E36-4E8E-8612-C0FEE9701613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21C54D2F-8C6F-46C0-9676-66DE11094315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C565B777-303E-4D33-9B69-646389D07605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7E081BE7-FBD6-422D-B71C-E037E6D3C424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35066255-050F-4468-BC73-F70B289CA178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1D5C28B0-EEE1-4C1F-A797-4BB077E6F3E9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74FBF03E-EA99-4DBF-9FF1-B6A29E65378A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DE2E736B-C616-466E-BC48-8DF628A1DCF0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B9FF8FD1-D1C4-4232-8CCA-F3AC68253DDF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FD6512CA-6897-4917-9D48-06536BA370FD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6620DB7C-D0BA-422D-BFDF-144EB7BA1A0A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E6884036-73BD-4413-B73A-C9726623AB5E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944C8F79-E77F-4782-BD4D-38A71E2E6C37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F32486F0-1C48-438C-A40D-A8EF03DE121D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8CD622D5-857B-4E90-8F4D-AA7304A61A9E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458CBC60-75F5-4192-8386-8ADBC0176A4F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919879B5-9697-4300-A846-00AB5A571EC8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B69B8237-07A7-4B95-A992-6E39AF5B47A3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27FA6F05-E742-4E17-A0A5-24517D30C4D3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129EFB16-A57B-455D-B8BE-2031B61A41C3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BF30706B-F47B-4043-8B1E-5E51BA3021FF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DC254EE7-8E5B-4922-B957-57E3459E38D3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D6A6CE26-0B6B-43B4-98C5-AB04E1AD96B9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99102CEE-7952-4DD5-B023-4A76B333E930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2F77708D-2D0B-420B-BFBC-621FFB05A35E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F1E59618-60A9-49A7-B1E6-657467001493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C84BD653-3560-4321-BADB-4483FFC8BFA3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29C4D934-6AC2-425E-9DEB-D52C2B96DF80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DF6E585C-EA58-4274-923C-9894AC2084B5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B036FFFA-FF75-47F9-84CA-F84B6A6924E3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C534CDB0-19D1-403E-8B36-87B6B9597928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C8187872-91C7-46C1-934A-7B18178AE831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82161FF5-E062-427D-AAB5-76BA93C8A53B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437E02CF-8AE6-468D-A6A5-54F0CCD4490E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419BBCAB-8DFE-4715-AC91-2B6334935A60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D7694392-66D4-4831-9F6E-CBD992A82DD5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81DABE7B-D6B0-471C-BFB5-6C3D47D3AAE4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53438D48-5FC6-4C55-B6BB-589FBD6390D7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37FE10CA-C3FF-4C15-BCF3-9BE5F05EE5CF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B9A7A3EC-7631-48CC-8632-A6B240A3278A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DE04C277-0F19-4DE8-9EBA-531B459D7F94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F2FCFBAD-3FEF-40F3-9063-289686423C2E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ADDB0A9E-4436-44E4-89F9-40D32FC5E339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DDD839CC-B1A4-4241-A064-261469765EDD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7DA11275-7AA4-49D1-A4D3-F10BFE214C46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6C6F53AD-EA02-4F4E-AA8C-F485537316D4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10DAB2F7-8249-484A-B949-E47DAC6B0693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2A59DDE5-8575-40E2-A64A-EA8E38595D91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21329F24-E70B-4EB6-83AE-F73A155EE14B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2E84-874A-48DA-ADA3-DD50F98C1EC5}">
  <dimension ref="A1:AK65536"/>
  <sheetViews>
    <sheetView showRuler="0" zoomScaleNormal="100" workbookViewId="0">
      <selection activeCell="D53" sqref="D53:J57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1068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2305039970</v>
      </c>
      <c r="C8" s="24" t="s">
        <v>940</v>
      </c>
      <c r="D8" s="22" t="s">
        <v>270</v>
      </c>
      <c r="E8" s="13" t="s">
        <v>1069</v>
      </c>
      <c r="F8" s="13">
        <v>10</v>
      </c>
      <c r="G8" s="13">
        <v>5</v>
      </c>
      <c r="H8" s="13"/>
      <c r="I8" s="16"/>
      <c r="J8" s="16">
        <v>5</v>
      </c>
      <c r="K8" s="16">
        <v>5</v>
      </c>
      <c r="L8" s="18">
        <f t="shared" ref="L8:L51" si="0">IF((COUNT(F8:I8)+COUNT(J8:J8)*2+COUNT(K8:K8)*3),ROUND((SUM(F8:I8)+SUM(J8:J8)*2+SUM(K8:K8)*3)/(COUNT(F8:I8)+COUNT(J8:J8)*2+COUNT(K8:K8)*3),1),"")</f>
        <v>5.7</v>
      </c>
      <c r="M8" s="16" t="s">
        <v>22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2304702067</v>
      </c>
      <c r="C9" s="24" t="s">
        <v>1070</v>
      </c>
      <c r="D9" s="22" t="s">
        <v>270</v>
      </c>
      <c r="E9" s="13" t="s">
        <v>1071</v>
      </c>
      <c r="F9" s="13">
        <v>8</v>
      </c>
      <c r="G9" s="13">
        <v>8</v>
      </c>
      <c r="H9" s="13"/>
      <c r="I9" s="16"/>
      <c r="J9" s="16">
        <v>7</v>
      </c>
      <c r="K9" s="16">
        <v>9</v>
      </c>
      <c r="L9" s="18">
        <f t="shared" si="0"/>
        <v>8.1</v>
      </c>
      <c r="M9" s="16" t="s">
        <v>22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2304702068</v>
      </c>
      <c r="C10" s="24" t="s">
        <v>1072</v>
      </c>
      <c r="D10" s="22" t="s">
        <v>270</v>
      </c>
      <c r="E10" s="13" t="s">
        <v>1073</v>
      </c>
      <c r="F10" s="13">
        <v>9</v>
      </c>
      <c r="G10" s="13">
        <v>5</v>
      </c>
      <c r="H10" s="13"/>
      <c r="I10" s="16"/>
      <c r="J10" s="16">
        <v>8</v>
      </c>
      <c r="K10" s="16">
        <v>5</v>
      </c>
      <c r="L10" s="18">
        <f t="shared" si="0"/>
        <v>6.4</v>
      </c>
      <c r="M10" s="16" t="s">
        <v>22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2304702069</v>
      </c>
      <c r="C11" s="24" t="s">
        <v>678</v>
      </c>
      <c r="D11" s="22" t="s">
        <v>535</v>
      </c>
      <c r="E11" s="13" t="s">
        <v>715</v>
      </c>
      <c r="F11" s="13">
        <v>10</v>
      </c>
      <c r="G11" s="13">
        <v>10</v>
      </c>
      <c r="H11" s="13"/>
      <c r="I11" s="16"/>
      <c r="J11" s="16">
        <v>5</v>
      </c>
      <c r="K11" s="16">
        <v>8.5</v>
      </c>
      <c r="L11" s="18">
        <f t="shared" si="0"/>
        <v>7.9</v>
      </c>
      <c r="M11" s="16" t="s">
        <v>22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2304702070</v>
      </c>
      <c r="C12" s="25" t="s">
        <v>438</v>
      </c>
      <c r="D12" s="23" t="s">
        <v>157</v>
      </c>
      <c r="E12" s="15" t="s">
        <v>1074</v>
      </c>
      <c r="F12" s="15"/>
      <c r="G12" s="15"/>
      <c r="H12" s="15"/>
      <c r="I12" s="17"/>
      <c r="J12" s="17"/>
      <c r="K12" s="17"/>
      <c r="L12" s="19" t="str">
        <f t="shared" si="0"/>
        <v/>
      </c>
      <c r="M12" s="17" t="s">
        <v>42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2304702072</v>
      </c>
      <c r="C13" s="24" t="s">
        <v>1075</v>
      </c>
      <c r="D13" s="22" t="s">
        <v>1076</v>
      </c>
      <c r="E13" s="13" t="s">
        <v>1077</v>
      </c>
      <c r="F13" s="13">
        <v>7</v>
      </c>
      <c r="G13" s="13">
        <v>8.5</v>
      </c>
      <c r="H13" s="13"/>
      <c r="I13" s="16"/>
      <c r="J13" s="16">
        <v>8</v>
      </c>
      <c r="K13" s="16">
        <v>9</v>
      </c>
      <c r="L13" s="18">
        <f t="shared" si="0"/>
        <v>8.4</v>
      </c>
      <c r="M13" s="16" t="s">
        <v>42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2304702074</v>
      </c>
      <c r="C14" s="24" t="s">
        <v>1078</v>
      </c>
      <c r="D14" s="22" t="s">
        <v>40</v>
      </c>
      <c r="E14" s="13" t="s">
        <v>1079</v>
      </c>
      <c r="F14" s="13">
        <v>7</v>
      </c>
      <c r="G14" s="13">
        <v>6</v>
      </c>
      <c r="H14" s="13"/>
      <c r="I14" s="16"/>
      <c r="J14" s="16">
        <v>7.5</v>
      </c>
      <c r="K14" s="16">
        <v>5.5</v>
      </c>
      <c r="L14" s="18">
        <f t="shared" si="0"/>
        <v>6.4</v>
      </c>
      <c r="M14" s="16" t="s">
        <v>42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2304702075</v>
      </c>
      <c r="C15" s="24" t="s">
        <v>223</v>
      </c>
      <c r="D15" s="22" t="s">
        <v>171</v>
      </c>
      <c r="E15" s="13" t="s">
        <v>1080</v>
      </c>
      <c r="F15" s="13">
        <v>8</v>
      </c>
      <c r="G15" s="13">
        <v>5</v>
      </c>
      <c r="H15" s="13"/>
      <c r="I15" s="16"/>
      <c r="J15" s="16">
        <v>6</v>
      </c>
      <c r="K15" s="16">
        <v>5</v>
      </c>
      <c r="L15" s="18">
        <f t="shared" si="0"/>
        <v>5.7</v>
      </c>
      <c r="M15" s="16" t="s">
        <v>22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2304702077</v>
      </c>
      <c r="C16" s="24" t="s">
        <v>1081</v>
      </c>
      <c r="D16" s="22" t="s">
        <v>1082</v>
      </c>
      <c r="E16" s="13" t="s">
        <v>980</v>
      </c>
      <c r="F16" s="13">
        <v>10</v>
      </c>
      <c r="G16" s="13">
        <v>9.5</v>
      </c>
      <c r="H16" s="13"/>
      <c r="I16" s="16"/>
      <c r="J16" s="16">
        <v>7</v>
      </c>
      <c r="K16" s="16">
        <v>5</v>
      </c>
      <c r="L16" s="18">
        <f t="shared" si="0"/>
        <v>6.9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2304702079</v>
      </c>
      <c r="C17" s="25" t="s">
        <v>702</v>
      </c>
      <c r="D17" s="23" t="s">
        <v>59</v>
      </c>
      <c r="E17" s="15" t="s">
        <v>805</v>
      </c>
      <c r="F17" s="15">
        <v>8</v>
      </c>
      <c r="G17" s="15">
        <v>7</v>
      </c>
      <c r="H17" s="15"/>
      <c r="I17" s="17"/>
      <c r="J17" s="17">
        <v>7</v>
      </c>
      <c r="K17" s="17">
        <v>5</v>
      </c>
      <c r="L17" s="19">
        <f t="shared" si="0"/>
        <v>6.3</v>
      </c>
      <c r="M17" s="17" t="s">
        <v>22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2304702080</v>
      </c>
      <c r="C18" s="24" t="s">
        <v>68</v>
      </c>
      <c r="D18" s="22" t="s">
        <v>190</v>
      </c>
      <c r="E18" s="13" t="s">
        <v>1083</v>
      </c>
      <c r="F18" s="13"/>
      <c r="G18" s="13"/>
      <c r="H18" s="13"/>
      <c r="I18" s="16"/>
      <c r="J18" s="16"/>
      <c r="K18" s="16"/>
      <c r="L18" s="18" t="str">
        <f t="shared" si="0"/>
        <v/>
      </c>
      <c r="M18" s="16" t="s">
        <v>274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2304702081</v>
      </c>
      <c r="C19" s="24" t="s">
        <v>380</v>
      </c>
      <c r="D19" s="22" t="s">
        <v>880</v>
      </c>
      <c r="E19" s="13" t="s">
        <v>1084</v>
      </c>
      <c r="F19" s="13">
        <v>8</v>
      </c>
      <c r="G19" s="13">
        <v>5</v>
      </c>
      <c r="H19" s="13"/>
      <c r="I19" s="16"/>
      <c r="J19" s="16">
        <v>7</v>
      </c>
      <c r="K19" s="16">
        <v>5</v>
      </c>
      <c r="L19" s="18">
        <f t="shared" si="0"/>
        <v>6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2304702082</v>
      </c>
      <c r="C20" s="24" t="s">
        <v>1085</v>
      </c>
      <c r="D20" s="22" t="s">
        <v>566</v>
      </c>
      <c r="E20" s="13" t="s">
        <v>1086</v>
      </c>
      <c r="F20" s="13">
        <v>7</v>
      </c>
      <c r="G20" s="13">
        <v>6</v>
      </c>
      <c r="H20" s="13"/>
      <c r="I20" s="16"/>
      <c r="J20" s="16">
        <v>5</v>
      </c>
      <c r="K20" s="16">
        <v>5</v>
      </c>
      <c r="L20" s="18">
        <f t="shared" si="0"/>
        <v>5.4</v>
      </c>
      <c r="M20" s="16" t="s">
        <v>42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2304702083</v>
      </c>
      <c r="C21" s="24" t="s">
        <v>1087</v>
      </c>
      <c r="D21" s="22" t="s">
        <v>1088</v>
      </c>
      <c r="E21" s="13" t="s">
        <v>1089</v>
      </c>
      <c r="F21" s="13">
        <v>7</v>
      </c>
      <c r="G21" s="13">
        <v>5</v>
      </c>
      <c r="H21" s="13"/>
      <c r="I21" s="16"/>
      <c r="J21" s="16">
        <v>5</v>
      </c>
      <c r="K21" s="16">
        <v>5</v>
      </c>
      <c r="L21" s="18">
        <f t="shared" si="0"/>
        <v>5.3</v>
      </c>
      <c r="M21" s="16" t="s">
        <v>42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2304702084</v>
      </c>
      <c r="C22" s="25" t="s">
        <v>1090</v>
      </c>
      <c r="D22" s="23" t="s">
        <v>1091</v>
      </c>
      <c r="E22" s="15" t="s">
        <v>1092</v>
      </c>
      <c r="F22" s="15">
        <v>8</v>
      </c>
      <c r="G22" s="15">
        <v>5</v>
      </c>
      <c r="H22" s="15"/>
      <c r="I22" s="17"/>
      <c r="J22" s="17">
        <v>5</v>
      </c>
      <c r="K22" s="17">
        <v>5</v>
      </c>
      <c r="L22" s="19">
        <f t="shared" si="0"/>
        <v>5.4</v>
      </c>
      <c r="M22" s="17" t="s">
        <v>22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2304702085</v>
      </c>
      <c r="C23" s="24" t="s">
        <v>523</v>
      </c>
      <c r="D23" s="22" t="s">
        <v>727</v>
      </c>
      <c r="E23" s="13" t="s">
        <v>1093</v>
      </c>
      <c r="F23" s="13">
        <v>6</v>
      </c>
      <c r="G23" s="13">
        <v>5</v>
      </c>
      <c r="H23" s="13"/>
      <c r="I23" s="16"/>
      <c r="J23" s="16">
        <v>8</v>
      </c>
      <c r="K23" s="16">
        <v>5</v>
      </c>
      <c r="L23" s="18">
        <f t="shared" si="0"/>
        <v>6</v>
      </c>
      <c r="M23" s="16" t="s">
        <v>33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2304702086</v>
      </c>
      <c r="C24" s="24" t="s">
        <v>409</v>
      </c>
      <c r="D24" s="22" t="s">
        <v>727</v>
      </c>
      <c r="E24" s="13" t="s">
        <v>797</v>
      </c>
      <c r="F24" s="13">
        <v>7</v>
      </c>
      <c r="G24" s="13">
        <v>7.5</v>
      </c>
      <c r="H24" s="13"/>
      <c r="I24" s="16"/>
      <c r="J24" s="16">
        <v>5</v>
      </c>
      <c r="K24" s="16">
        <v>9</v>
      </c>
      <c r="L24" s="18">
        <f t="shared" si="0"/>
        <v>7.4</v>
      </c>
      <c r="M24" s="16" t="s">
        <v>42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2304702087</v>
      </c>
      <c r="C25" s="24" t="s">
        <v>1094</v>
      </c>
      <c r="D25" s="22" t="s">
        <v>84</v>
      </c>
      <c r="E25" s="13" t="s">
        <v>1095</v>
      </c>
      <c r="F25" s="13">
        <v>6</v>
      </c>
      <c r="G25" s="13">
        <v>8</v>
      </c>
      <c r="H25" s="13"/>
      <c r="I25" s="16"/>
      <c r="J25" s="16">
        <v>7</v>
      </c>
      <c r="K25" s="16">
        <v>9</v>
      </c>
      <c r="L25" s="18">
        <f t="shared" si="0"/>
        <v>7.9</v>
      </c>
      <c r="M25" s="16" t="s">
        <v>33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2304702088</v>
      </c>
      <c r="C26" s="24" t="s">
        <v>400</v>
      </c>
      <c r="D26" s="22" t="s">
        <v>87</v>
      </c>
      <c r="E26" s="13" t="s">
        <v>1096</v>
      </c>
      <c r="F26" s="13">
        <v>8</v>
      </c>
      <c r="G26" s="13">
        <v>7.5</v>
      </c>
      <c r="H26" s="13"/>
      <c r="I26" s="16"/>
      <c r="J26" s="16">
        <v>7</v>
      </c>
      <c r="K26" s="16">
        <v>6.5</v>
      </c>
      <c r="L26" s="18">
        <f t="shared" si="0"/>
        <v>7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2304702089</v>
      </c>
      <c r="C27" s="25" t="s">
        <v>1097</v>
      </c>
      <c r="D27" s="23" t="s">
        <v>90</v>
      </c>
      <c r="E27" s="15" t="s">
        <v>1018</v>
      </c>
      <c r="F27" s="15">
        <v>7</v>
      </c>
      <c r="G27" s="15">
        <v>10</v>
      </c>
      <c r="H27" s="15"/>
      <c r="I27" s="17"/>
      <c r="J27" s="17">
        <v>8</v>
      </c>
      <c r="K27" s="17">
        <v>9.5</v>
      </c>
      <c r="L27" s="19">
        <f t="shared" si="0"/>
        <v>8.8000000000000007</v>
      </c>
      <c r="M27" s="17" t="s">
        <v>42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2304702090</v>
      </c>
      <c r="C28" s="24" t="s">
        <v>603</v>
      </c>
      <c r="D28" s="22" t="s">
        <v>896</v>
      </c>
      <c r="E28" s="13" t="s">
        <v>817</v>
      </c>
      <c r="F28" s="13">
        <v>6</v>
      </c>
      <c r="G28" s="13">
        <v>10</v>
      </c>
      <c r="H28" s="13"/>
      <c r="I28" s="16"/>
      <c r="J28" s="16">
        <v>5</v>
      </c>
      <c r="K28" s="16">
        <v>8.5</v>
      </c>
      <c r="L28" s="18">
        <f t="shared" si="0"/>
        <v>7.4</v>
      </c>
      <c r="M28" s="16" t="s">
        <v>33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2304702091</v>
      </c>
      <c r="C29" s="24" t="s">
        <v>1098</v>
      </c>
      <c r="D29" s="22" t="s">
        <v>98</v>
      </c>
      <c r="E29" s="13" t="s">
        <v>1099</v>
      </c>
      <c r="F29" s="13">
        <v>7</v>
      </c>
      <c r="G29" s="13">
        <v>5</v>
      </c>
      <c r="H29" s="13"/>
      <c r="I29" s="16"/>
      <c r="J29" s="16">
        <v>7</v>
      </c>
      <c r="K29" s="16">
        <v>7.5</v>
      </c>
      <c r="L29" s="18">
        <f t="shared" si="0"/>
        <v>6.9</v>
      </c>
      <c r="M29" s="16" t="s">
        <v>42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2304702092</v>
      </c>
      <c r="C30" s="24" t="s">
        <v>1100</v>
      </c>
      <c r="D30" s="22" t="s">
        <v>98</v>
      </c>
      <c r="E30" s="13" t="s">
        <v>1005</v>
      </c>
      <c r="F30" s="13">
        <v>8</v>
      </c>
      <c r="G30" s="13">
        <v>5</v>
      </c>
      <c r="H30" s="13"/>
      <c r="I30" s="16"/>
      <c r="J30" s="16">
        <v>7</v>
      </c>
      <c r="K30" s="16">
        <v>6</v>
      </c>
      <c r="L30" s="18">
        <f t="shared" si="0"/>
        <v>6.4</v>
      </c>
      <c r="M30" s="16" t="s">
        <v>22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2304702094</v>
      </c>
      <c r="C31" s="24" t="s">
        <v>1101</v>
      </c>
      <c r="D31" s="22" t="s">
        <v>105</v>
      </c>
      <c r="E31" s="13" t="s">
        <v>997</v>
      </c>
      <c r="F31" s="13">
        <v>8</v>
      </c>
      <c r="G31" s="13">
        <v>10</v>
      </c>
      <c r="H31" s="13"/>
      <c r="I31" s="16"/>
      <c r="J31" s="16">
        <v>6</v>
      </c>
      <c r="K31" s="16">
        <v>8</v>
      </c>
      <c r="L31" s="18">
        <f t="shared" si="0"/>
        <v>7.7</v>
      </c>
      <c r="M31" s="16" t="s">
        <v>22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2304702095</v>
      </c>
      <c r="C32" s="25" t="s">
        <v>640</v>
      </c>
      <c r="D32" s="23" t="s">
        <v>105</v>
      </c>
      <c r="E32" s="15" t="s">
        <v>1074</v>
      </c>
      <c r="F32" s="15">
        <v>10</v>
      </c>
      <c r="G32" s="15">
        <v>5.5</v>
      </c>
      <c r="H32" s="15"/>
      <c r="I32" s="17"/>
      <c r="J32" s="17">
        <v>5</v>
      </c>
      <c r="K32" s="17">
        <v>5.5</v>
      </c>
      <c r="L32" s="19">
        <f t="shared" si="0"/>
        <v>6</v>
      </c>
      <c r="M32" s="17" t="s">
        <v>22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2304702096</v>
      </c>
      <c r="C33" s="24" t="s">
        <v>1102</v>
      </c>
      <c r="D33" s="22" t="s">
        <v>1103</v>
      </c>
      <c r="E33" s="13" t="s">
        <v>1104</v>
      </c>
      <c r="F33" s="13"/>
      <c r="G33" s="13"/>
      <c r="H33" s="13"/>
      <c r="I33" s="16"/>
      <c r="J33" s="16"/>
      <c r="K33" s="16"/>
      <c r="L33" s="18" t="str">
        <f t="shared" si="0"/>
        <v/>
      </c>
      <c r="M33" s="16" t="s">
        <v>42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2304702097</v>
      </c>
      <c r="C34" s="24" t="s">
        <v>1105</v>
      </c>
      <c r="D34" s="22" t="s">
        <v>111</v>
      </c>
      <c r="E34" s="13" t="s">
        <v>899</v>
      </c>
      <c r="F34" s="13">
        <v>7</v>
      </c>
      <c r="G34" s="13">
        <v>7.5</v>
      </c>
      <c r="H34" s="13"/>
      <c r="I34" s="16"/>
      <c r="J34" s="16">
        <v>7</v>
      </c>
      <c r="K34" s="16">
        <v>5.5</v>
      </c>
      <c r="L34" s="18">
        <f t="shared" si="0"/>
        <v>6.4</v>
      </c>
      <c r="M34" s="16" t="s">
        <v>42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2304702098</v>
      </c>
      <c r="C35" s="24" t="s">
        <v>1106</v>
      </c>
      <c r="D35" s="22" t="s">
        <v>657</v>
      </c>
      <c r="E35" s="13" t="s">
        <v>1107</v>
      </c>
      <c r="F35" s="13">
        <v>8</v>
      </c>
      <c r="G35" s="13">
        <v>10</v>
      </c>
      <c r="H35" s="13"/>
      <c r="I35" s="16"/>
      <c r="J35" s="16">
        <v>5</v>
      </c>
      <c r="K35" s="16">
        <v>5</v>
      </c>
      <c r="L35" s="18">
        <f t="shared" si="0"/>
        <v>6.1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2304702099</v>
      </c>
      <c r="C36" s="24" t="s">
        <v>578</v>
      </c>
      <c r="D36" s="22" t="s">
        <v>331</v>
      </c>
      <c r="E36" s="13" t="s">
        <v>1108</v>
      </c>
      <c r="F36" s="13">
        <v>8</v>
      </c>
      <c r="G36" s="13">
        <v>5</v>
      </c>
      <c r="H36" s="13"/>
      <c r="I36" s="16"/>
      <c r="J36" s="16">
        <v>7</v>
      </c>
      <c r="K36" s="16">
        <v>5</v>
      </c>
      <c r="L36" s="18">
        <f t="shared" si="0"/>
        <v>6</v>
      </c>
      <c r="M36" s="16" t="s">
        <v>22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2304702100</v>
      </c>
      <c r="C37" s="25" t="s">
        <v>478</v>
      </c>
      <c r="D37" s="23" t="s">
        <v>221</v>
      </c>
      <c r="E37" s="15" t="s">
        <v>1109</v>
      </c>
      <c r="F37" s="15">
        <v>7</v>
      </c>
      <c r="G37" s="15">
        <v>10</v>
      </c>
      <c r="H37" s="15"/>
      <c r="I37" s="17"/>
      <c r="J37" s="17">
        <v>5</v>
      </c>
      <c r="K37" s="17">
        <v>5</v>
      </c>
      <c r="L37" s="19">
        <f t="shared" si="0"/>
        <v>6</v>
      </c>
      <c r="M37" s="17" t="s">
        <v>42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2304702101</v>
      </c>
      <c r="C38" s="24" t="s">
        <v>177</v>
      </c>
      <c r="D38" s="22" t="s">
        <v>1049</v>
      </c>
      <c r="E38" s="13" t="s">
        <v>1110</v>
      </c>
      <c r="F38" s="13">
        <v>7</v>
      </c>
      <c r="G38" s="13">
        <v>7</v>
      </c>
      <c r="H38" s="13"/>
      <c r="I38" s="16"/>
      <c r="J38" s="16">
        <v>7</v>
      </c>
      <c r="K38" s="16">
        <v>7.5</v>
      </c>
      <c r="L38" s="18">
        <f t="shared" si="0"/>
        <v>7.2</v>
      </c>
      <c r="M38" s="16" t="s">
        <v>42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2304702102</v>
      </c>
      <c r="C39" s="24" t="s">
        <v>1111</v>
      </c>
      <c r="D39" s="22" t="s">
        <v>227</v>
      </c>
      <c r="E39" s="13" t="s">
        <v>1112</v>
      </c>
      <c r="F39" s="13">
        <v>7</v>
      </c>
      <c r="G39" s="13">
        <v>5</v>
      </c>
      <c r="H39" s="13"/>
      <c r="I39" s="16"/>
      <c r="J39" s="16">
        <v>7</v>
      </c>
      <c r="K39" s="16">
        <v>5</v>
      </c>
      <c r="L39" s="18">
        <f t="shared" si="0"/>
        <v>5.9</v>
      </c>
      <c r="M39" s="16" t="s">
        <v>42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2304702103</v>
      </c>
      <c r="C40" s="24" t="s">
        <v>1113</v>
      </c>
      <c r="D40" s="22" t="s">
        <v>1114</v>
      </c>
      <c r="E40" s="13" t="s">
        <v>403</v>
      </c>
      <c r="F40" s="13">
        <v>9</v>
      </c>
      <c r="G40" s="13">
        <v>10</v>
      </c>
      <c r="H40" s="13"/>
      <c r="I40" s="16"/>
      <c r="J40" s="16">
        <v>6</v>
      </c>
      <c r="K40" s="16">
        <v>5</v>
      </c>
      <c r="L40" s="18">
        <f t="shared" si="0"/>
        <v>6.6</v>
      </c>
      <c r="M40" s="16" t="s">
        <v>22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2304702106</v>
      </c>
      <c r="C41" s="24" t="s">
        <v>1115</v>
      </c>
      <c r="D41" s="22" t="s">
        <v>430</v>
      </c>
      <c r="E41" s="13" t="s">
        <v>780</v>
      </c>
      <c r="F41" s="13">
        <v>7</v>
      </c>
      <c r="G41" s="13">
        <v>5</v>
      </c>
      <c r="H41" s="13"/>
      <c r="I41" s="16"/>
      <c r="J41" s="16">
        <v>7</v>
      </c>
      <c r="K41" s="16">
        <v>6.5</v>
      </c>
      <c r="L41" s="18">
        <f t="shared" si="0"/>
        <v>6.5</v>
      </c>
      <c r="M41" s="16" t="s">
        <v>42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2306004125</v>
      </c>
      <c r="C42" s="25" t="s">
        <v>1116</v>
      </c>
      <c r="D42" s="23" t="s">
        <v>1117</v>
      </c>
      <c r="E42" s="15" t="s">
        <v>384</v>
      </c>
      <c r="F42" s="15">
        <v>6</v>
      </c>
      <c r="G42" s="15">
        <v>10</v>
      </c>
      <c r="H42" s="15"/>
      <c r="I42" s="17"/>
      <c r="J42" s="17">
        <v>5</v>
      </c>
      <c r="K42" s="17">
        <v>6</v>
      </c>
      <c r="L42" s="19">
        <f t="shared" si="0"/>
        <v>6.3</v>
      </c>
      <c r="M42" s="17" t="s">
        <v>33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2304702107</v>
      </c>
      <c r="C43" s="24" t="s">
        <v>1118</v>
      </c>
      <c r="D43" s="22" t="s">
        <v>345</v>
      </c>
      <c r="E43" s="13" t="s">
        <v>1021</v>
      </c>
      <c r="F43" s="13">
        <v>8</v>
      </c>
      <c r="G43" s="13">
        <v>10</v>
      </c>
      <c r="H43" s="13"/>
      <c r="I43" s="16"/>
      <c r="J43" s="16">
        <v>7</v>
      </c>
      <c r="K43" s="16">
        <v>10</v>
      </c>
      <c r="L43" s="18">
        <f t="shared" si="0"/>
        <v>8.9</v>
      </c>
      <c r="M43" s="16" t="s">
        <v>22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2304702108</v>
      </c>
      <c r="C44" s="24" t="s">
        <v>556</v>
      </c>
      <c r="D44" s="22" t="s">
        <v>255</v>
      </c>
      <c r="E44" s="13" t="s">
        <v>1119</v>
      </c>
      <c r="F44" s="13">
        <v>9</v>
      </c>
      <c r="G44" s="13">
        <v>5</v>
      </c>
      <c r="H44" s="13"/>
      <c r="I44" s="16"/>
      <c r="J44" s="16">
        <v>7</v>
      </c>
      <c r="K44" s="16">
        <v>10</v>
      </c>
      <c r="L44" s="18">
        <f t="shared" si="0"/>
        <v>8.3000000000000007</v>
      </c>
      <c r="M44" s="16" t="s">
        <v>22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2304702109</v>
      </c>
      <c r="C45" s="24" t="s">
        <v>1118</v>
      </c>
      <c r="D45" s="22" t="s">
        <v>609</v>
      </c>
      <c r="E45" s="13" t="s">
        <v>1043</v>
      </c>
      <c r="F45" s="13">
        <v>6</v>
      </c>
      <c r="G45" s="13">
        <v>10</v>
      </c>
      <c r="H45" s="13"/>
      <c r="I45" s="16"/>
      <c r="J45" s="16">
        <v>6</v>
      </c>
      <c r="K45" s="16">
        <v>8</v>
      </c>
      <c r="L45" s="18">
        <f t="shared" si="0"/>
        <v>7.4</v>
      </c>
      <c r="M45" s="16" t="s">
        <v>33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2304702110</v>
      </c>
      <c r="C46" s="24" t="s">
        <v>1120</v>
      </c>
      <c r="D46" s="22" t="s">
        <v>761</v>
      </c>
      <c r="E46" s="13" t="s">
        <v>1121</v>
      </c>
      <c r="F46" s="13">
        <v>8</v>
      </c>
      <c r="G46" s="13">
        <v>7</v>
      </c>
      <c r="H46" s="13"/>
      <c r="I46" s="16"/>
      <c r="J46" s="16">
        <v>5</v>
      </c>
      <c r="K46" s="16">
        <v>8</v>
      </c>
      <c r="L46" s="18">
        <f t="shared" si="0"/>
        <v>7</v>
      </c>
      <c r="M46" s="16" t="s">
        <v>22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2304702111</v>
      </c>
      <c r="C47" s="25" t="s">
        <v>1122</v>
      </c>
      <c r="D47" s="23" t="s">
        <v>761</v>
      </c>
      <c r="E47" s="15" t="s">
        <v>1123</v>
      </c>
      <c r="F47" s="15">
        <v>7</v>
      </c>
      <c r="G47" s="15">
        <v>5</v>
      </c>
      <c r="H47" s="15"/>
      <c r="I47" s="17"/>
      <c r="J47" s="17">
        <v>8</v>
      </c>
      <c r="K47" s="17">
        <v>8.5</v>
      </c>
      <c r="L47" s="19">
        <f t="shared" si="0"/>
        <v>7.6</v>
      </c>
      <c r="M47" s="17" t="s">
        <v>42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2304702112</v>
      </c>
      <c r="C48" s="24" t="s">
        <v>1124</v>
      </c>
      <c r="D48" s="22" t="s">
        <v>691</v>
      </c>
      <c r="E48" s="13" t="s">
        <v>1125</v>
      </c>
      <c r="F48" s="13">
        <v>10</v>
      </c>
      <c r="G48" s="13">
        <v>9</v>
      </c>
      <c r="H48" s="13"/>
      <c r="I48" s="16"/>
      <c r="J48" s="16">
        <v>7</v>
      </c>
      <c r="K48" s="16">
        <v>6</v>
      </c>
      <c r="L48" s="18">
        <f t="shared" si="0"/>
        <v>7.3</v>
      </c>
      <c r="M48" s="16" t="s">
        <v>22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0">
        <v>42</v>
      </c>
      <c r="B49" s="13">
        <v>2304702113</v>
      </c>
      <c r="C49" s="24" t="s">
        <v>1126</v>
      </c>
      <c r="D49" s="22" t="s">
        <v>1127</v>
      </c>
      <c r="E49" s="13" t="s">
        <v>966</v>
      </c>
      <c r="F49" s="13">
        <v>6</v>
      </c>
      <c r="G49" s="13">
        <v>7</v>
      </c>
      <c r="H49" s="13"/>
      <c r="I49" s="16"/>
      <c r="J49" s="16">
        <v>7</v>
      </c>
      <c r="K49" s="16">
        <v>7</v>
      </c>
      <c r="L49" s="18">
        <f t="shared" si="0"/>
        <v>6.9</v>
      </c>
      <c r="M49" s="16" t="s">
        <v>33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20">
        <v>43</v>
      </c>
      <c r="B50" s="13">
        <v>2304702114</v>
      </c>
      <c r="C50" s="24" t="s">
        <v>1128</v>
      </c>
      <c r="D50" s="22" t="s">
        <v>612</v>
      </c>
      <c r="E50" s="13" t="s">
        <v>1129</v>
      </c>
      <c r="F50" s="13">
        <v>7</v>
      </c>
      <c r="G50" s="13">
        <v>5</v>
      </c>
      <c r="H50" s="13"/>
      <c r="I50" s="16"/>
      <c r="J50" s="16">
        <v>7</v>
      </c>
      <c r="K50" s="16">
        <v>5</v>
      </c>
      <c r="L50" s="18">
        <f t="shared" si="0"/>
        <v>5.9</v>
      </c>
      <c r="M50" s="16" t="s">
        <v>42</v>
      </c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21">
        <v>44</v>
      </c>
      <c r="B51" s="15">
        <v>2304702115</v>
      </c>
      <c r="C51" s="25" t="s">
        <v>741</v>
      </c>
      <c r="D51" s="23" t="s">
        <v>359</v>
      </c>
      <c r="E51" s="15" t="s">
        <v>1130</v>
      </c>
      <c r="F51" s="15">
        <v>8</v>
      </c>
      <c r="G51" s="15">
        <v>5</v>
      </c>
      <c r="H51" s="15"/>
      <c r="I51" s="17"/>
      <c r="J51" s="17">
        <v>7</v>
      </c>
      <c r="K51" s="17"/>
      <c r="L51" s="19">
        <f t="shared" si="0"/>
        <v>6.8</v>
      </c>
      <c r="M51" s="17" t="s">
        <v>22</v>
      </c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2.75" customHeight="1" x14ac:dyDescent="0.35">
      <c r="A52" s="39" t="s">
        <v>141</v>
      </c>
      <c r="B52" s="40"/>
      <c r="C52" s="41"/>
      <c r="D52" s="41"/>
      <c r="E52" s="41"/>
      <c r="F52" s="40"/>
      <c r="G52" s="40"/>
      <c r="H52" s="40"/>
      <c r="I52" s="40"/>
      <c r="J52" s="42"/>
      <c r="K52" s="8"/>
      <c r="L52" s="9"/>
      <c r="M52" s="10"/>
      <c r="N52" s="11"/>
      <c r="O52" s="11"/>
      <c r="P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2.75" customHeight="1" x14ac:dyDescent="0.35">
      <c r="A53" s="43"/>
      <c r="B53" s="33"/>
      <c r="C53" s="44"/>
      <c r="D53" s="45"/>
      <c r="E53" s="45"/>
      <c r="F53" s="46"/>
      <c r="G53" s="46"/>
      <c r="H53" s="46"/>
      <c r="I53" s="46"/>
      <c r="J53" s="47"/>
    </row>
    <row r="54" spans="1:37" ht="12.75" customHeight="1" x14ac:dyDescent="0.35">
      <c r="A54" s="48" t="s">
        <v>142</v>
      </c>
      <c r="B54" s="33"/>
      <c r="C54" s="44"/>
      <c r="D54" s="45" t="s">
        <v>143</v>
      </c>
      <c r="E54" s="45"/>
      <c r="F54" s="46" t="str">
        <f>TEXT(COUNTIF(L8:L51,"&gt;="&amp;Q54),"#0")</f>
        <v>5</v>
      </c>
      <c r="G54" s="46"/>
      <c r="H54" s="31" t="s">
        <v>144</v>
      </c>
      <c r="I54" s="46" t="str">
        <f>ROUND(F54/IF(COUNTIF(L8:L51,"&gt;=0")=0,1,COUNTIF(L8:L51,"&gt;=0")),4)*100&amp;"%"</f>
        <v>12.2%</v>
      </c>
      <c r="J54" s="47"/>
      <c r="Q54" s="26">
        <v>7.95</v>
      </c>
    </row>
    <row r="55" spans="1:37" ht="12.75" customHeight="1" x14ac:dyDescent="0.35">
      <c r="A55" s="43" t="s">
        <v>145</v>
      </c>
      <c r="B55" s="33"/>
      <c r="C55" s="44"/>
      <c r="D55" s="45" t="s">
        <v>146</v>
      </c>
      <c r="E55" s="45"/>
      <c r="F55" s="46" t="str">
        <f>TEXT(COUNTIF(L8:L51,"&gt;="&amp;Q55)-F54,"#0")</f>
        <v>17</v>
      </c>
      <c r="G55" s="46"/>
      <c r="H55" s="31" t="s">
        <v>144</v>
      </c>
      <c r="I55" s="46" t="str">
        <f>ROUND(F55/IF(COUNTIF(L8:L51,"&gt;=0")=0,1,COUNTIF(L8:L51,"&gt;=0")),4)*100&amp;"%"</f>
        <v>41.46%</v>
      </c>
      <c r="J55" s="47"/>
      <c r="Q55" s="26">
        <v>6.45</v>
      </c>
    </row>
    <row r="56" spans="1:37" ht="12.75" customHeight="1" x14ac:dyDescent="0.35">
      <c r="A56" s="27"/>
      <c r="D56" s="45" t="s">
        <v>147</v>
      </c>
      <c r="E56" s="45"/>
      <c r="F56" s="46" t="str">
        <f>TEXT(COUNTIF(L8:L51,"&gt;="&amp;Q56)-F55-F54,"#0")</f>
        <v>19</v>
      </c>
      <c r="G56" s="46"/>
      <c r="H56" s="31" t="s">
        <v>144</v>
      </c>
      <c r="I56" s="46" t="str">
        <f>ROUND(F56/IF(COUNTIF(L8:L51,"&gt;=0")=0,1,COUNTIF(L8:L51,"&gt;=0")),4)*100&amp;"%"</f>
        <v>46.34%</v>
      </c>
      <c r="J56" s="47"/>
      <c r="Q56" s="26">
        <v>4.95</v>
      </c>
    </row>
    <row r="57" spans="1:37" ht="12.75" customHeight="1" x14ac:dyDescent="0.35">
      <c r="A57" s="28"/>
      <c r="B57" s="29"/>
      <c r="C57" s="30"/>
      <c r="D57" s="49" t="s">
        <v>148</v>
      </c>
      <c r="E57" s="49"/>
      <c r="F57" s="50" t="str">
        <f>TEXT(COUNTIF(L8:L51,"&gt;=0")-F53-F54-F55-F56,"#0")</f>
        <v>0</v>
      </c>
      <c r="G57" s="50"/>
      <c r="H57" s="32" t="s">
        <v>144</v>
      </c>
      <c r="I57" s="50" t="str">
        <f>ROUND(F57/IF(COUNTIF(L8:L51,"&gt;=0")=0,1,COUNTIF(L8:L51,"&gt;=0")),4)*100&amp;"%"</f>
        <v>0%</v>
      </c>
      <c r="J57" s="51"/>
    </row>
    <row r="65536" ht="14.5" x14ac:dyDescent="0.35"/>
  </sheetData>
  <mergeCells count="32">
    <mergeCell ref="D56:E56"/>
    <mergeCell ref="F56:G56"/>
    <mergeCell ref="I56:J56"/>
    <mergeCell ref="D57:E57"/>
    <mergeCell ref="F57:G57"/>
    <mergeCell ref="I57:J57"/>
    <mergeCell ref="A52:J53"/>
    <mergeCell ref="A54:C54"/>
    <mergeCell ref="D54:E54"/>
    <mergeCell ref="F54:G54"/>
    <mergeCell ref="I54:J54"/>
    <mergeCell ref="A55:C55"/>
    <mergeCell ref="D55:E55"/>
    <mergeCell ref="F55:G55"/>
    <mergeCell ref="I55:J55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66">
    <dataValidation type="list" allowBlank="1" showInputMessage="1" showErrorMessage="1" errorTitle="Thông báo" error="Bạn phải nhập [Đạt] = d, Đ, đ, 1   [Chưa đạt] = c, CĐ, cđ, 2" sqref="C5" xr:uid="{A60259B4-6E6F-46E0-8B3B-D870FC45735B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3FD4345F-8160-42FF-B1EF-B9B26B894F51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94A431BA-FFA7-4A73-B2E8-0E5789498691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5B7C13F8-4676-4E8F-84A1-10D2C7B09C84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76465BEB-B573-4D78-9C93-B9DF3C788AC5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654D1E50-3EBC-4664-8275-746783DDEC33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008A9639-CB84-4CF8-A1D2-31A57A34CB3F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55746A96-8055-4AB0-8BA8-9A7E271A516A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C1B0E35A-BE1E-47F1-9E5C-249B5DE5352D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7C6ECF03-7DBD-4093-9800-2D1B3F440D35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95E28A89-24AD-4ADE-946F-72511B64560B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4ABDB589-D9AA-4051-B265-F8A86574F3F6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0E50E770-228C-4A6B-8138-CA044E5F9C72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D2617737-531E-4232-814E-29B7535CB2A8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E710808F-8831-478E-9EFA-70101AEFCA32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2D33E68A-4066-42EB-83CB-82D17D6211C1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2BCA27BA-BA08-422E-BEB6-A70F3437102A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C50E6C3A-C731-49F7-B2C8-4B7D3E9E15E7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F8204633-983F-43A5-8ADA-208266DA11E2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268A29EE-DF71-4F26-9AA0-D0E318A30734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B2E77637-6FFB-4631-8F32-9DB72E6FA34C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C1BCFBBB-A5DA-4529-8E50-FF3C6CFBCECE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C60E9BFA-B0BE-48CC-89E7-5BC7E8070636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F7D2A3BD-FA72-49A6-AFA5-1932AD707669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F76A57A8-218E-45AA-9680-489A79A4B6C1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6185D6D5-E73E-45A0-91EA-5D5238B43924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0499CFD3-5EAC-4A70-982A-6F7E6863B00E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E49721A0-6D05-4AC0-B8DD-4E517CAE35A7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D13228FB-AB86-469A-AEBD-7A203C75178D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75328791-09A4-4B21-82CA-A33D5993754E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8F13A9C1-5356-4F7F-9E74-8ED251FFCCC9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F18808FB-0D0B-49E7-8081-FB22AFECA254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B1AA9395-0747-4EA2-B5FA-34DB9F92B331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855E1FFF-2783-4E3B-ADA1-E43F168A5616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89916DC6-AC66-4AD3-97C4-DBE6994429D7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E83A0C02-198C-4CB5-BA74-7A9805D74DDF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DD4FF06B-9D96-48B4-A762-3BDD3FA784A8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AD9509C1-66FE-48CC-94F2-368C05FD4C8C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199C7928-66F1-4DB3-8866-1B7DD793966A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4FFA4D85-3835-4A19-8B0C-9F8471288209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D2E9F17C-8984-41A2-83B2-5A594E7BAFAB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031F3D42-3F80-4628-B31F-BF2B690E35C1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EF4F3C3D-F591-4C3A-8C4A-7C3784CD9207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1BE8FE50-1353-4794-AB0A-AABD586DA24D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11FB5E1A-759B-43EA-A8A4-F70813740D07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EDD939A1-2B5B-4C0C-8C9F-9D94EEB37767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E7B80C15-ED54-4301-898A-99D2CB51960E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761A46C5-8B1E-4352-97CB-77CAD58F89C9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25720AC9-21F0-44C4-A0B1-05D59FF29573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7E8124DC-DF7C-49A5-8335-E8B60579A1ED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AC32EF20-A4F1-4395-A66B-6F3AD927D60D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57622824-DF40-4B1F-BB1A-C83072083466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6C7C0A76-C41C-471F-93F6-ECD65E9035FD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A3A65EFD-2707-4F33-BAD2-F3592A44E3D9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1919C23A-C820-4F2C-88D3-360C6143A089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18FCF96A-73AB-47B5-A33F-DF6D02A77B82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0218139E-9FD3-402A-A36A-116FE23F8F4C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085B993C-E9E9-458F-AB6A-74E850445F08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95DFF710-EEDE-4E3F-BC65-2F6EC9E27918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315C38C6-113B-4900-84A0-3053CABBA937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F3B855CA-0989-4971-BD0E-61918FB88CAC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69A8F31B-506F-4948-B3DE-ADF47F9415CC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1A5D6753-5C08-4FB3-BDF5-3DAB3670932E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9FD834F7-D58F-44C7-9688-74F08F4B01C2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54F9755C-C5A4-4DD6-9242-1BFAA8AA3896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7783BE4F-3BA3-4BEC-AAFC-CFCBDB4C87A1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085040CB-3BE8-4187-8DF0-915339A4BC5E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4A8B52BA-A1A3-4C5A-A350-034D1B651C7F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EA0F5BC0-33C6-4D90-9D6C-F0220BC90E4B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15E4FF20-4AB7-4CFB-AC73-A0B5DB50DE55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B0F3EFD2-C096-42E4-989C-780CA8E5C31E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A3B8A7A0-F716-4DC0-A37C-33E5B7C94759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D48B14DD-EA88-4193-9467-EEF5E62BB15F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356EFBC8-5129-4B85-B280-B1A2A71FE955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11809B62-BC61-44F6-9ABC-E6C427AF7CD1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3D583113-8424-4F09-A834-6EFFF4088E85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327D200E-F12E-44CB-B5B2-6DE6B192F3CE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3DDD2C55-6351-4128-9D5A-3653E8FBC1CD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540CBA4F-6D47-415E-B924-B00D80E7C879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B48AE1C0-2930-444B-AA40-9979B2CF90C8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C52B56E0-403D-4E44-A1FA-6F9195751159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3468DA96-D216-4B87-86C8-0256CA9AFAE7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FA0CE9CC-D337-40DE-B6E7-43E1D1935D37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CE9DF139-1CCF-450B-967E-1A5DE3FF3358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0226AB92-A7A8-488F-BD2C-519861EB7E6A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26DB7BDC-AB72-4EC0-86C5-4060B1C423D1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91AC7CC8-3721-4486-9D5A-054856382389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F1CB3047-402F-47A0-BA6A-5E5C3D781F31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2B6CAC08-136B-47D8-8D22-2DA065A6B08B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7385122F-AFB8-4809-81CE-59F67483513E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B029FC96-443A-4571-80C4-7FF3FC0566B3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C8C77EF9-714E-4015-ABEE-A91AE40E0900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059511D0-0958-48BA-8984-202A697490A3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A6606F0F-9965-46AB-A5E9-D3D19F3756DB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34B24804-6037-49E7-B1E4-693CE741FE6E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976D24DD-DB5B-4AAE-AB34-D9EB7CD35EA1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39AA81B9-FC1D-4D48-8807-A459C9B56311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51CB6E65-68A6-451D-913E-3D615AE1BB3B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BCDEB8C1-9237-4031-A631-F0ECAD3808EF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5C642968-377E-458C-89DF-C3FF67CF1FE4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998AA408-9E56-4516-BE59-5439B611D228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0BE0572C-B202-4672-A16B-CC075CD9E986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0AC25DDB-2535-4485-8F05-D0657181014C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6834C48B-8FFB-421E-8D85-A2B929BB73A7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5B3283BB-2BD4-4463-8332-0499A091E0C7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A728109E-42D6-4A2D-AA78-E6D356217729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6A75577B-0CDB-4AF5-9056-1BF1ED5FE155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A29BB1AA-749A-4B86-986F-801896423C06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958432E5-5015-4765-95B4-147B92F94971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D16366E0-D2ED-40E9-81B6-7EAEA6A0326C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9F1B90DA-5AA4-4E81-83AA-FBEDC93CB557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5B7239D8-6F8A-4F2C-9F4F-47AF5098FF3E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0BEDD86D-2D11-4065-8B81-3057A3E70042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274EB1BF-A60E-4901-8208-A161B18BFED5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CAB1A7F4-3092-4F30-AACE-DF8F816C5165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8621FE00-DD8A-4304-A995-6058B7ED5D59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AA2949ED-E49C-4332-8CF7-93F0D237447E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71DB16F1-A365-460E-9176-CF154F4F0DAC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64FB8B51-016D-46AB-B57A-86ECD45CACDA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33D67278-782F-4DD8-A568-AAA3AC48DBBB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62D11E70-E368-42A7-8865-47BAE0D278FF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8053359C-838D-4436-9B23-6B61CFB3FC96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F33473A7-D488-454B-97C3-15B33C131C57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A784FF0E-EEF1-4857-8CA5-722524641C2F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17B4C2CE-FE4E-4F1E-BDEB-174330DFC04E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B077A8F7-C10A-44FC-BCC4-87132FB5C0A8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24C4F39A-66BF-4B13-A115-289B3265BF46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BE495B94-316C-4161-AFE7-F352B35E2980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DCE5C780-6509-4B81-BA0B-54DBC7BEF02F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9A203FBA-C2AD-4A54-A054-840CC9312F82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A5B4EFEA-63CE-44AB-9342-5E673EC85E23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DFD1C237-D000-4F6F-A1FA-1A80B8C4A01C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684E6DCD-7662-48EE-8438-BDA32C3A11C5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48CF1EB0-A89A-43E0-BED7-217C22FEDBAB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4541E38E-7E25-44D5-A277-FB9C6C1DE2E9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820A32DD-EB5C-4D82-AC79-5B10314DCFFC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F49CC123-7780-4243-A117-2B03467729F6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37230AAA-0978-4C09-8AB2-03A33AA5F09B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CAE92081-4204-489D-A106-492CAD21BE7D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D64824F7-C49C-4D51-AE01-EAD6FEF6FA50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65422BC0-BD41-4F92-A2FB-D0478A33CD72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30A3B4E5-53E4-49D3-BAA5-AE4034A7032B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8CBD4F00-906E-424C-B1EB-FF95C8819BAF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5B7A74C5-D9A1-4C53-9B2A-CA05B4395719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D5A4252E-C16C-45A0-860E-5324F5C614F0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D780BF92-733B-46EE-A223-CB0BB99850A3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0C05082E-8504-4EB7-AA82-8FAD8D638101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52F46CE2-3977-4BF4-AC63-ECB2440CB605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17FFD72E-11AC-4475-9B8D-0D0F60903174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82DD6D52-5362-49B6-BB07-9189BD2C4FD3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77C709FA-ED54-46A1-A7D4-DDDE5B315044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787FD96A-318B-4915-8C89-143F5D05CA06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34701B02-8B1B-4857-AE9D-29FABED6B400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B0846694-1572-4A7A-9879-B50E6B9CF3C3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9FDC1D29-276C-4D48-9505-17E5E8118210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99436E28-BBA7-4698-B30F-09B442DE83A2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DFE425CD-F42F-4790-9ABE-447F85EF7AD6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CA78FD3A-2B96-4F36-B332-C74FD9937970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019D34E6-E839-47AE-9DB3-60E6963DF9B6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9890C518-8833-4625-9E88-80AF541D7E44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9973F306-0E42-48F1-9C0E-FBC771BA3AE9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452FEF90-14FD-4726-BDF5-0448671D7E3A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64F05BD8-10C8-42A9-ABB1-3422FA7BBCD1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7253CB68-C3C1-4B1C-AEC4-332C0731E91C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4D93B6C6-3639-475C-B106-28BA5D0A84D8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0DE091A8-1585-4D9E-8E25-847CBB44CBF2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D0F0D12F-10AA-476D-994F-05E6085CD1C1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86227022-D12F-43F1-9EF3-FD129E08328E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2DA8B087-1708-4B50-A0E2-13401B6B46B7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7A0BC4A2-6CE4-4F9C-BE9E-663AC494C0BF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FC1D57C3-1049-4EFF-91CD-19628B62F023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68F1E38D-C491-4E6A-9992-202CE634E967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389AAD5D-DAE2-4E7F-AFE6-597D78C9278C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0505B64A-0544-493E-8245-9C5496F6263B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BFE216ED-341A-4046-B849-0EBAF07B6569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B6C01119-C4A3-4BFE-B986-68483445206E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DA7A63CB-FFDD-47C2-958C-1E4FE97386E7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DD6CA4EE-316B-4447-B99E-C848861C1A25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FE5A55F5-7B9E-4A06-92EE-F438A3170B14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1AEB1D8F-EF39-4CAF-9826-0622E697E128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E3DC2FB4-0E84-4419-9C2E-16246367D3EF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EFF3FB27-293B-4638-8721-200050F0FC71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43946DB7-81CD-42B4-A3EF-54A1D6687BEE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D73E2B2F-A8E6-455C-910E-CE3477447A37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C3CA61A4-39D8-4948-B105-5ADD6AD80B7A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0AE7663A-9F53-4056-B637-21DF056D9388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82BF2CF2-9D5B-4C90-97D1-E7EED158D0AF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A43D49E1-2672-46B1-9B59-ED2285B9B22E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1F14A582-6EEE-4EF1-9B1C-5DA879BEBFA7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0D14064D-68A6-489A-BF02-52E2A808552F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926D5C72-0BF6-49EF-B326-42BCC6D5B1C9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E8E97ABA-4D12-4603-8674-7F09F8419C54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88C6DFAC-310E-457C-9E37-CD4A46A112C7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05FC2406-12ED-475E-AD4C-6F299133171F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5E758AD3-7EF5-4032-8AB4-427FFA57C896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60F8618D-2CBE-41AF-96E9-B31C06E27B28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C52786D3-4A2D-407F-9646-F41879B90AEA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547AA8A2-0DCB-48F0-BE1D-4B1F3548E90E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A9D02580-4A8D-477F-BD21-8024E74DE69E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F4C8A3EF-4E04-4314-8C28-7A7263F2D66E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07D64448-5C65-4BC5-B933-853344F3202A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F4A8174F-870B-45CD-8F4A-1A3429C7F086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E854B449-17EB-4486-ACD7-F37CEBCF4886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254E9B23-9376-4C50-A66F-D911AB5E5F8B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33CFBE16-E702-45C8-A5AA-8B66EA1E4478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BA800ACC-91D9-4358-AC91-085A230D1EDA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AE277CBC-48BC-42C9-9145-B2E930678DCC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364523F0-AA91-45DC-A8BF-E6EBA101D752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0241372B-AE93-43E9-A2E9-FE3974507884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90CDCCF8-272D-4638-9DED-95DC0B85FF51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6DF84D5A-1C95-4A72-9D1D-0FE5D4CB1E7E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8C9FB44D-712D-466C-9831-462E5234DDCC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7191460D-2CBF-43AF-B528-8B2DBEC18ED8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7E142848-1506-41D4-A025-518C2EDE7BC7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C1FBC442-05DA-4B54-8993-53863CE44093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598B409A-AA59-438A-BD4B-ECFDA9D6686F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0B12AFC7-2064-4350-B34E-B0663452C307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7B3DD427-DBA1-4FF9-8129-64B9C6A95678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0E379764-BE38-4450-AA34-14463FFC1AE3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DEC1D505-A5D1-4E35-8F58-B9661A9A166F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6CBE06E9-B968-4085-8C9D-C76AB8634971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4DD45A25-2E95-4ACE-8F1E-E9576183CC1D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A3BF00F7-91A5-46B4-87FA-08D8B2865BBB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7AE817E9-6199-475E-8233-9DBCCDBDF8CD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8C5AE2C5-EDAD-41CF-B39E-1635AE984C0D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23678D71-01E9-4D1D-A507-0B4E7B77484B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FC77878D-5D7E-4645-9DD6-5B1A2D9E283E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3A281A7C-4F0D-40F6-BA0D-179DE37C83D4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DC86B9C8-F406-4D11-AB75-0726B937B15A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B0271DB9-7466-44AF-8D91-F1236148CF51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3B03BF0D-D63C-4B17-91B8-9AB4F6180157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2A52C3E1-355D-4E42-9ACC-C6FD9672251D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C98C9F41-DAE0-4B68-875C-7DFD0A10C728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1B747FEA-BB02-4664-83C7-756795552AA1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DCD5633E-8FE4-4DDB-B922-F541AA1B5578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C8766A85-3ED2-42C4-8F57-D0E11257EB36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06D4806B-6ED5-4812-A05C-FD9244643929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ED5EB49B-0946-438B-89E4-D84511C61572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2AC8F2C7-9E81-4C58-ACE8-BD03750B9DA9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45BB7C0F-1007-4637-B300-F2C37E6BA622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1E5A4091-BFE0-4F82-9140-6D204805381A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EF6AC602-EE11-408B-A428-D30E0083CE19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48F55A45-11EA-4B14-812F-6BA7D188070C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15BF8C89-1275-4B5E-B782-98FE5103E181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C81F53D9-A9B5-4ED8-AD6A-4DF00CDDE2D1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3545D3ED-3201-4D5C-93D1-FD067BD6569A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B0DEFC9C-8543-43CD-AC24-A096AD061901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16550A9E-87A3-41A3-8788-48742FDF5CF4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B3FEF6C6-3837-4E2E-8FE1-8B3C810A99C7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B9B5D1C8-4A37-4B91-B61D-916CC33C247A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B87BBC52-CFB6-47D9-9547-AF46F4E529F9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8DC32C58-C19C-4B7B-8527-30B937BA252D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2D49DDAE-2FC1-4C77-8377-F5FB9B3D9A85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762820A2-2B76-45B0-B32A-B463D0C46274}">
      <formula1>0</formula1>
      <formula2>10</formula2>
    </dataValidation>
    <dataValidation type="decimal" allowBlank="1" showInputMessage="1" showErrorMessage="1" errorTitle="Thông báo" error="Giá trị con điểm phải là số &gt;=0 và &lt;=10 " sqref="F50" xr:uid="{FD5FAB70-F928-49B1-8F85-6A9BB8E60C7A}">
      <formula1>0</formula1>
      <formula2>10</formula2>
    </dataValidation>
    <dataValidation type="decimal" allowBlank="1" showInputMessage="1" showErrorMessage="1" errorTitle="Thông báo" error="Giá trị con điểm phải là số &gt;=0 và &lt;=10 " sqref="G50" xr:uid="{676F96EA-1935-44F9-80D8-7432C58B8577}">
      <formula1>0</formula1>
      <formula2>10</formula2>
    </dataValidation>
    <dataValidation type="decimal" allowBlank="1" showInputMessage="1" showErrorMessage="1" errorTitle="Thông báo" error="Giá trị con điểm phải là số &gt;=0 và &lt;=10 " sqref="H50" xr:uid="{FFD5D651-03C2-4172-80E1-1E63C6C0056C}">
      <formula1>0</formula1>
      <formula2>10</formula2>
    </dataValidation>
    <dataValidation type="decimal" allowBlank="1" showInputMessage="1" showErrorMessage="1" errorTitle="Thông báo" error="Giá trị con điểm phải là số &gt;=0 và &lt;=10 " sqref="I50" xr:uid="{F6C1C2FF-BA58-4D3B-9395-EE3F64115884}">
      <formula1>0</formula1>
      <formula2>10</formula2>
    </dataValidation>
    <dataValidation type="decimal" allowBlank="1" showInputMessage="1" showErrorMessage="1" errorTitle="Thông báo" error="Giá trị con điểm phải là số &gt;=0 và &lt;=10 " sqref="J50" xr:uid="{0715D66A-3404-4731-8B61-436F572611BC}">
      <formula1>0</formula1>
      <formula2>10</formula2>
    </dataValidation>
    <dataValidation type="decimal" allowBlank="1" showInputMessage="1" showErrorMessage="1" errorTitle="Thông báo" error="Giá trị con điểm phải là số &gt;=0 và &lt;=10 " sqref="K50" xr:uid="{FBD76349-791D-44FC-BCA3-A13401333E09}">
      <formula1>0</formula1>
      <formula2>10</formula2>
    </dataValidation>
    <dataValidation type="decimal" allowBlank="1" showInputMessage="1" showErrorMessage="1" errorTitle="Thông báo" error="Giá trị con điểm phải là số &gt;=0 và &lt;=10 " sqref="F51" xr:uid="{82BABED0-5667-4DDB-BB03-4B38CC20FD46}">
      <formula1>0</formula1>
      <formula2>10</formula2>
    </dataValidation>
    <dataValidation type="decimal" allowBlank="1" showInputMessage="1" showErrorMessage="1" errorTitle="Thông báo" error="Giá trị con điểm phải là số &gt;=0 và &lt;=10 " sqref="G51" xr:uid="{830761A7-78FE-4243-A11B-AD92A2678474}">
      <formula1>0</formula1>
      <formula2>10</formula2>
    </dataValidation>
    <dataValidation type="decimal" allowBlank="1" showInputMessage="1" showErrorMessage="1" errorTitle="Thông báo" error="Giá trị con điểm phải là số &gt;=0 và &lt;=10 " sqref="H51" xr:uid="{8715EC05-B353-4075-9CDB-9FC05CE41302}">
      <formula1>0</formula1>
      <formula2>10</formula2>
    </dataValidation>
    <dataValidation type="decimal" allowBlank="1" showInputMessage="1" showErrorMessage="1" errorTitle="Thông báo" error="Giá trị con điểm phải là số &gt;=0 và &lt;=10 " sqref="I51" xr:uid="{96CF18AE-6B8A-4C3E-BC47-9B128FB860CE}">
      <formula1>0</formula1>
      <formula2>10</formula2>
    </dataValidation>
    <dataValidation type="decimal" allowBlank="1" showInputMessage="1" showErrorMessage="1" errorTitle="Thông báo" error="Giá trị con điểm phải là số &gt;=0 và &lt;=10 " sqref="J51" xr:uid="{D549E232-153A-49D7-9AA9-1F0D8AC11B50}">
      <formula1>0</formula1>
      <formula2>10</formula2>
    </dataValidation>
    <dataValidation type="decimal" allowBlank="1" showInputMessage="1" showErrorMessage="1" errorTitle="Thông báo" error="Giá trị con điểm phải là số &gt;=0 và &lt;=10 " sqref="K51" xr:uid="{B35AB713-FF16-45F4-920F-5C2F0E356AA7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1F8B-F7A5-47EA-8A2B-7048D5DC4C75}">
  <dimension ref="A1:AK65536"/>
  <sheetViews>
    <sheetView showRuler="0" zoomScaleNormal="100" workbookViewId="0">
      <selection activeCell="D50" sqref="D50:J54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1131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2305338460</v>
      </c>
      <c r="C8" s="24" t="s">
        <v>1132</v>
      </c>
      <c r="D8" s="22" t="s">
        <v>20</v>
      </c>
      <c r="E8" s="13" t="s">
        <v>389</v>
      </c>
      <c r="F8" s="13">
        <v>9</v>
      </c>
      <c r="G8" s="13">
        <v>6.5</v>
      </c>
      <c r="H8" s="13"/>
      <c r="I8" s="16"/>
      <c r="J8" s="16">
        <v>8.5</v>
      </c>
      <c r="K8" s="16">
        <v>5</v>
      </c>
      <c r="L8" s="18">
        <f t="shared" ref="L8:L48" si="0">IF((COUNT(F8:I8)+COUNT(J8:J8)*2+COUNT(K8:K8)*3),ROUND((SUM(F8:I8)+SUM(J8:J8)*2+SUM(K8:K8)*3)/(COUNT(F8:I8)+COUNT(J8:J8)*2+COUNT(K8:K8)*3),1),"")</f>
        <v>6.8</v>
      </c>
      <c r="M8" s="16" t="s">
        <v>22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2305338461</v>
      </c>
      <c r="C9" s="24" t="s">
        <v>409</v>
      </c>
      <c r="D9" s="22" t="s">
        <v>1133</v>
      </c>
      <c r="E9" s="13" t="s">
        <v>1109</v>
      </c>
      <c r="F9" s="13">
        <v>5</v>
      </c>
      <c r="G9" s="13">
        <v>6</v>
      </c>
      <c r="H9" s="13"/>
      <c r="I9" s="16"/>
      <c r="J9" s="16">
        <v>9</v>
      </c>
      <c r="K9" s="16">
        <v>5</v>
      </c>
      <c r="L9" s="18">
        <f t="shared" si="0"/>
        <v>6.3</v>
      </c>
      <c r="M9" s="16" t="s">
        <v>274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2305338462</v>
      </c>
      <c r="C10" s="24" t="s">
        <v>1118</v>
      </c>
      <c r="D10" s="22" t="s">
        <v>281</v>
      </c>
      <c r="E10" s="13" t="s">
        <v>1134</v>
      </c>
      <c r="F10" s="13">
        <v>9</v>
      </c>
      <c r="G10" s="13">
        <v>7</v>
      </c>
      <c r="H10" s="13"/>
      <c r="I10" s="16"/>
      <c r="J10" s="16">
        <v>9</v>
      </c>
      <c r="K10" s="16">
        <v>5</v>
      </c>
      <c r="L10" s="18">
        <f t="shared" si="0"/>
        <v>7</v>
      </c>
      <c r="M10" s="16" t="s">
        <v>22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2305338463</v>
      </c>
      <c r="C11" s="24" t="s">
        <v>493</v>
      </c>
      <c r="D11" s="22" t="s">
        <v>1135</v>
      </c>
      <c r="E11" s="13" t="s">
        <v>1015</v>
      </c>
      <c r="F11" s="13">
        <v>8</v>
      </c>
      <c r="G11" s="13">
        <v>8.5</v>
      </c>
      <c r="H11" s="13"/>
      <c r="I11" s="16"/>
      <c r="J11" s="16">
        <v>8.5</v>
      </c>
      <c r="K11" s="16">
        <v>5</v>
      </c>
      <c r="L11" s="18">
        <f t="shared" si="0"/>
        <v>6.9</v>
      </c>
      <c r="M11" s="16" t="s">
        <v>22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2305338464</v>
      </c>
      <c r="C12" s="25" t="s">
        <v>1136</v>
      </c>
      <c r="D12" s="23" t="s">
        <v>1137</v>
      </c>
      <c r="E12" s="15" t="s">
        <v>1138</v>
      </c>
      <c r="F12" s="15">
        <v>7</v>
      </c>
      <c r="G12" s="15">
        <v>5</v>
      </c>
      <c r="H12" s="15"/>
      <c r="I12" s="17"/>
      <c r="J12" s="17">
        <v>8</v>
      </c>
      <c r="K12" s="17"/>
      <c r="L12" s="19">
        <f t="shared" si="0"/>
        <v>7</v>
      </c>
      <c r="M12" s="17" t="s">
        <v>42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2305338465</v>
      </c>
      <c r="C13" s="24" t="s">
        <v>1139</v>
      </c>
      <c r="D13" s="22" t="s">
        <v>1140</v>
      </c>
      <c r="E13" s="13" t="s">
        <v>459</v>
      </c>
      <c r="F13" s="13">
        <v>9</v>
      </c>
      <c r="G13" s="13">
        <v>10</v>
      </c>
      <c r="H13" s="13"/>
      <c r="I13" s="16"/>
      <c r="J13" s="16">
        <v>9</v>
      </c>
      <c r="K13" s="16">
        <v>8.5</v>
      </c>
      <c r="L13" s="18">
        <f t="shared" si="0"/>
        <v>8.9</v>
      </c>
      <c r="M13" s="16" t="s">
        <v>22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2305338468</v>
      </c>
      <c r="C14" s="24" t="s">
        <v>1141</v>
      </c>
      <c r="D14" s="22" t="s">
        <v>59</v>
      </c>
      <c r="E14" s="13" t="s">
        <v>1142</v>
      </c>
      <c r="F14" s="13">
        <v>10</v>
      </c>
      <c r="G14" s="13">
        <v>5</v>
      </c>
      <c r="H14" s="13"/>
      <c r="I14" s="16"/>
      <c r="J14" s="16">
        <v>8.5</v>
      </c>
      <c r="K14" s="16">
        <v>8</v>
      </c>
      <c r="L14" s="18">
        <f t="shared" si="0"/>
        <v>8</v>
      </c>
      <c r="M14" s="16" t="s">
        <v>22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2305338466</v>
      </c>
      <c r="C15" s="24" t="s">
        <v>1143</v>
      </c>
      <c r="D15" s="22" t="s">
        <v>59</v>
      </c>
      <c r="E15" s="13" t="s">
        <v>1144</v>
      </c>
      <c r="F15" s="13">
        <v>8</v>
      </c>
      <c r="G15" s="13">
        <v>5</v>
      </c>
      <c r="H15" s="13"/>
      <c r="I15" s="16"/>
      <c r="J15" s="16">
        <v>9</v>
      </c>
      <c r="K15" s="16">
        <v>6</v>
      </c>
      <c r="L15" s="18">
        <f t="shared" si="0"/>
        <v>7</v>
      </c>
      <c r="M15" s="16" t="s">
        <v>22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2305338467</v>
      </c>
      <c r="C16" s="24" t="s">
        <v>1145</v>
      </c>
      <c r="D16" s="22" t="s">
        <v>59</v>
      </c>
      <c r="E16" s="13" t="s">
        <v>477</v>
      </c>
      <c r="F16" s="13">
        <v>9</v>
      </c>
      <c r="G16" s="13">
        <v>10</v>
      </c>
      <c r="H16" s="13"/>
      <c r="I16" s="16"/>
      <c r="J16" s="16">
        <v>9</v>
      </c>
      <c r="K16" s="16">
        <v>6</v>
      </c>
      <c r="L16" s="18">
        <f t="shared" si="0"/>
        <v>7.9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2305338469</v>
      </c>
      <c r="C17" s="25" t="s">
        <v>1146</v>
      </c>
      <c r="D17" s="23" t="s">
        <v>190</v>
      </c>
      <c r="E17" s="15" t="s">
        <v>1147</v>
      </c>
      <c r="F17" s="15">
        <v>7</v>
      </c>
      <c r="G17" s="15">
        <v>8</v>
      </c>
      <c r="H17" s="15"/>
      <c r="I17" s="17"/>
      <c r="J17" s="17">
        <v>9</v>
      </c>
      <c r="K17" s="17">
        <v>9</v>
      </c>
      <c r="L17" s="19">
        <f t="shared" si="0"/>
        <v>8.6</v>
      </c>
      <c r="M17" s="17" t="s">
        <v>42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2305338470</v>
      </c>
      <c r="C18" s="24" t="s">
        <v>1148</v>
      </c>
      <c r="D18" s="22" t="s">
        <v>190</v>
      </c>
      <c r="E18" s="13" t="s">
        <v>1149</v>
      </c>
      <c r="F18" s="13">
        <v>7</v>
      </c>
      <c r="G18" s="13">
        <v>10</v>
      </c>
      <c r="H18" s="13"/>
      <c r="I18" s="16"/>
      <c r="J18" s="16">
        <v>7</v>
      </c>
      <c r="K18" s="16">
        <v>5</v>
      </c>
      <c r="L18" s="18">
        <f t="shared" si="0"/>
        <v>6.6</v>
      </c>
      <c r="M18" s="16" t="s">
        <v>42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2304664219</v>
      </c>
      <c r="C19" s="24" t="s">
        <v>1150</v>
      </c>
      <c r="D19" s="22" t="s">
        <v>64</v>
      </c>
      <c r="E19" s="13" t="s">
        <v>1151</v>
      </c>
      <c r="F19" s="13">
        <v>7</v>
      </c>
      <c r="G19" s="13">
        <v>9</v>
      </c>
      <c r="H19" s="13"/>
      <c r="I19" s="16"/>
      <c r="J19" s="16">
        <v>7</v>
      </c>
      <c r="K19" s="16">
        <v>5</v>
      </c>
      <c r="L19" s="18">
        <f t="shared" si="0"/>
        <v>6.4</v>
      </c>
      <c r="M19" s="16" t="s">
        <v>42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2305338472</v>
      </c>
      <c r="C20" s="24" t="s">
        <v>1152</v>
      </c>
      <c r="D20" s="22" t="s">
        <v>1153</v>
      </c>
      <c r="E20" s="13" t="s">
        <v>1154</v>
      </c>
      <c r="F20" s="13">
        <v>7</v>
      </c>
      <c r="G20" s="13">
        <v>9</v>
      </c>
      <c r="H20" s="13"/>
      <c r="I20" s="16"/>
      <c r="J20" s="16">
        <v>8.5</v>
      </c>
      <c r="K20" s="16">
        <v>6.5</v>
      </c>
      <c r="L20" s="18">
        <f t="shared" si="0"/>
        <v>7.5</v>
      </c>
      <c r="M20" s="16" t="s">
        <v>42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2304664184</v>
      </c>
      <c r="C21" s="24" t="s">
        <v>1155</v>
      </c>
      <c r="D21" s="22" t="s">
        <v>305</v>
      </c>
      <c r="E21" s="13" t="s">
        <v>1156</v>
      </c>
      <c r="F21" s="13">
        <v>10</v>
      </c>
      <c r="G21" s="13">
        <v>7</v>
      </c>
      <c r="H21" s="13"/>
      <c r="I21" s="16"/>
      <c r="J21" s="16">
        <v>9</v>
      </c>
      <c r="K21" s="16">
        <v>10</v>
      </c>
      <c r="L21" s="18">
        <f t="shared" si="0"/>
        <v>9.3000000000000007</v>
      </c>
      <c r="M21" s="16" t="s">
        <v>22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2305338473</v>
      </c>
      <c r="C22" s="25" t="s">
        <v>1157</v>
      </c>
      <c r="D22" s="23" t="s">
        <v>72</v>
      </c>
      <c r="E22" s="15" t="s">
        <v>451</v>
      </c>
      <c r="F22" s="15">
        <v>6</v>
      </c>
      <c r="G22" s="15">
        <v>8.5</v>
      </c>
      <c r="H22" s="15"/>
      <c r="I22" s="17"/>
      <c r="J22" s="17">
        <v>8</v>
      </c>
      <c r="K22" s="17">
        <v>8</v>
      </c>
      <c r="L22" s="19">
        <f t="shared" si="0"/>
        <v>7.8</v>
      </c>
      <c r="M22" s="17" t="s">
        <v>33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2305338474</v>
      </c>
      <c r="C23" s="24" t="s">
        <v>1158</v>
      </c>
      <c r="D23" s="22" t="s">
        <v>81</v>
      </c>
      <c r="E23" s="13" t="s">
        <v>615</v>
      </c>
      <c r="F23" s="13">
        <v>9</v>
      </c>
      <c r="G23" s="13">
        <v>5.5</v>
      </c>
      <c r="H23" s="13"/>
      <c r="I23" s="16"/>
      <c r="J23" s="16">
        <v>9</v>
      </c>
      <c r="K23" s="16">
        <v>7.5</v>
      </c>
      <c r="L23" s="18">
        <f t="shared" si="0"/>
        <v>7.9</v>
      </c>
      <c r="M23" s="16" t="s">
        <v>22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2305338475</v>
      </c>
      <c r="C24" s="24" t="s">
        <v>779</v>
      </c>
      <c r="D24" s="22" t="s">
        <v>203</v>
      </c>
      <c r="E24" s="13" t="s">
        <v>778</v>
      </c>
      <c r="F24" s="13">
        <v>9</v>
      </c>
      <c r="G24" s="13">
        <v>6</v>
      </c>
      <c r="H24" s="13"/>
      <c r="I24" s="16"/>
      <c r="J24" s="16">
        <v>9</v>
      </c>
      <c r="K24" s="16">
        <v>9.5</v>
      </c>
      <c r="L24" s="18">
        <f t="shared" si="0"/>
        <v>8.8000000000000007</v>
      </c>
      <c r="M24" s="16" t="s">
        <v>22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2305338476</v>
      </c>
      <c r="C25" s="24" t="s">
        <v>1159</v>
      </c>
      <c r="D25" s="22" t="s">
        <v>87</v>
      </c>
      <c r="E25" s="13" t="s">
        <v>1160</v>
      </c>
      <c r="F25" s="13">
        <v>7</v>
      </c>
      <c r="G25" s="13">
        <v>9</v>
      </c>
      <c r="H25" s="13"/>
      <c r="I25" s="16"/>
      <c r="J25" s="16">
        <v>9</v>
      </c>
      <c r="K25" s="16">
        <v>5</v>
      </c>
      <c r="L25" s="18">
        <f t="shared" si="0"/>
        <v>7</v>
      </c>
      <c r="M25" s="16" t="s">
        <v>42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2305338499</v>
      </c>
      <c r="C26" s="24" t="s">
        <v>777</v>
      </c>
      <c r="D26" s="22" t="s">
        <v>896</v>
      </c>
      <c r="E26" s="13" t="s">
        <v>1161</v>
      </c>
      <c r="F26" s="13">
        <v>7</v>
      </c>
      <c r="G26" s="13">
        <v>5</v>
      </c>
      <c r="H26" s="13"/>
      <c r="I26" s="16"/>
      <c r="J26" s="16">
        <v>9</v>
      </c>
      <c r="K26" s="16">
        <v>9</v>
      </c>
      <c r="L26" s="18">
        <f t="shared" si="0"/>
        <v>8.1</v>
      </c>
      <c r="M26" s="16" t="s">
        <v>42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2305338479</v>
      </c>
      <c r="C27" s="25" t="s">
        <v>1162</v>
      </c>
      <c r="D27" s="23" t="s">
        <v>98</v>
      </c>
      <c r="E27" s="15" t="s">
        <v>1163</v>
      </c>
      <c r="F27" s="15">
        <v>8</v>
      </c>
      <c r="G27" s="15">
        <v>8</v>
      </c>
      <c r="H27" s="15"/>
      <c r="I27" s="17"/>
      <c r="J27" s="17">
        <v>9</v>
      </c>
      <c r="K27" s="17">
        <v>8</v>
      </c>
      <c r="L27" s="19">
        <f t="shared" si="0"/>
        <v>8.3000000000000007</v>
      </c>
      <c r="M27" s="17" t="s">
        <v>22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2305338480</v>
      </c>
      <c r="C28" s="24" t="s">
        <v>315</v>
      </c>
      <c r="D28" s="22" t="s">
        <v>214</v>
      </c>
      <c r="E28" s="13" t="s">
        <v>1164</v>
      </c>
      <c r="F28" s="13">
        <v>6</v>
      </c>
      <c r="G28" s="13">
        <v>5</v>
      </c>
      <c r="H28" s="13"/>
      <c r="I28" s="16"/>
      <c r="J28" s="16">
        <v>9</v>
      </c>
      <c r="K28" s="16">
        <v>5</v>
      </c>
      <c r="L28" s="18">
        <f t="shared" si="0"/>
        <v>6.3</v>
      </c>
      <c r="M28" s="16" t="s">
        <v>33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2305338481</v>
      </c>
      <c r="C29" s="24" t="s">
        <v>1165</v>
      </c>
      <c r="D29" s="22" t="s">
        <v>105</v>
      </c>
      <c r="E29" s="13" t="s">
        <v>1089</v>
      </c>
      <c r="F29" s="13">
        <v>8</v>
      </c>
      <c r="G29" s="13">
        <v>9.5</v>
      </c>
      <c r="H29" s="13"/>
      <c r="I29" s="16"/>
      <c r="J29" s="16">
        <v>9</v>
      </c>
      <c r="K29" s="16">
        <v>6</v>
      </c>
      <c r="L29" s="18">
        <f t="shared" si="0"/>
        <v>7.6</v>
      </c>
      <c r="M29" s="16" t="s">
        <v>22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2305338477</v>
      </c>
      <c r="C30" s="24" t="s">
        <v>1166</v>
      </c>
      <c r="D30" s="22" t="s">
        <v>1167</v>
      </c>
      <c r="E30" s="13" t="s">
        <v>959</v>
      </c>
      <c r="F30" s="13">
        <v>8</v>
      </c>
      <c r="G30" s="13">
        <v>8</v>
      </c>
      <c r="H30" s="13"/>
      <c r="I30" s="16"/>
      <c r="J30" s="16">
        <v>7</v>
      </c>
      <c r="K30" s="16">
        <v>5.5</v>
      </c>
      <c r="L30" s="18">
        <f t="shared" si="0"/>
        <v>6.6</v>
      </c>
      <c r="M30" s="16" t="s">
        <v>22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2305338482</v>
      </c>
      <c r="C31" s="24" t="s">
        <v>1168</v>
      </c>
      <c r="D31" s="22" t="s">
        <v>1169</v>
      </c>
      <c r="E31" s="13" t="s">
        <v>1170</v>
      </c>
      <c r="F31" s="13">
        <v>8</v>
      </c>
      <c r="G31" s="13">
        <v>8.5</v>
      </c>
      <c r="H31" s="13"/>
      <c r="I31" s="16"/>
      <c r="J31" s="16">
        <v>7</v>
      </c>
      <c r="K31" s="16">
        <v>6</v>
      </c>
      <c r="L31" s="18">
        <f t="shared" si="0"/>
        <v>6.9</v>
      </c>
      <c r="M31" s="16" t="s">
        <v>42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2305338483</v>
      </c>
      <c r="C32" s="25" t="s">
        <v>1171</v>
      </c>
      <c r="D32" s="23" t="s">
        <v>586</v>
      </c>
      <c r="E32" s="15" t="s">
        <v>1172</v>
      </c>
      <c r="F32" s="15">
        <v>8</v>
      </c>
      <c r="G32" s="15">
        <v>5</v>
      </c>
      <c r="H32" s="15"/>
      <c r="I32" s="17"/>
      <c r="J32" s="17">
        <v>9</v>
      </c>
      <c r="K32" s="17"/>
      <c r="L32" s="19">
        <f t="shared" si="0"/>
        <v>7.8</v>
      </c>
      <c r="M32" s="17" t="s">
        <v>22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2305338484</v>
      </c>
      <c r="C33" s="24" t="s">
        <v>1173</v>
      </c>
      <c r="D33" s="22" t="s">
        <v>590</v>
      </c>
      <c r="E33" s="13" t="s">
        <v>54</v>
      </c>
      <c r="F33" s="13">
        <v>10</v>
      </c>
      <c r="G33" s="13">
        <v>10</v>
      </c>
      <c r="H33" s="13"/>
      <c r="I33" s="16"/>
      <c r="J33" s="16">
        <v>9</v>
      </c>
      <c r="K33" s="16">
        <v>5</v>
      </c>
      <c r="L33" s="18">
        <f t="shared" si="0"/>
        <v>7.6</v>
      </c>
      <c r="M33" s="16" t="s">
        <v>22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2306019134</v>
      </c>
      <c r="C34" s="24" t="s">
        <v>1174</v>
      </c>
      <c r="D34" s="22" t="s">
        <v>1175</v>
      </c>
      <c r="E34" s="13" t="s">
        <v>1176</v>
      </c>
      <c r="F34" s="13">
        <v>8</v>
      </c>
      <c r="G34" s="13">
        <v>5</v>
      </c>
      <c r="H34" s="13"/>
      <c r="I34" s="16"/>
      <c r="J34" s="16">
        <v>8</v>
      </c>
      <c r="K34" s="16">
        <v>8</v>
      </c>
      <c r="L34" s="18">
        <f t="shared" si="0"/>
        <v>7.6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2305338486</v>
      </c>
      <c r="C35" s="24" t="s">
        <v>480</v>
      </c>
      <c r="D35" s="22" t="s">
        <v>1177</v>
      </c>
      <c r="E35" s="13" t="s">
        <v>1178</v>
      </c>
      <c r="F35" s="13">
        <v>9</v>
      </c>
      <c r="G35" s="13">
        <v>9.5</v>
      </c>
      <c r="H35" s="13"/>
      <c r="I35" s="16"/>
      <c r="J35" s="16">
        <v>8.5</v>
      </c>
      <c r="K35" s="16">
        <v>5</v>
      </c>
      <c r="L35" s="18">
        <f t="shared" si="0"/>
        <v>7.2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2305338498</v>
      </c>
      <c r="C36" s="24" t="s">
        <v>1179</v>
      </c>
      <c r="D36" s="22" t="s">
        <v>665</v>
      </c>
      <c r="E36" s="13" t="s">
        <v>440</v>
      </c>
      <c r="F36" s="13">
        <v>9</v>
      </c>
      <c r="G36" s="13">
        <v>10</v>
      </c>
      <c r="H36" s="13"/>
      <c r="I36" s="16"/>
      <c r="J36" s="16">
        <v>9</v>
      </c>
      <c r="K36" s="16">
        <v>10</v>
      </c>
      <c r="L36" s="18">
        <f t="shared" si="0"/>
        <v>9.6</v>
      </c>
      <c r="M36" s="16" t="s">
        <v>22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2305338487</v>
      </c>
      <c r="C37" s="25" t="s">
        <v>61</v>
      </c>
      <c r="D37" s="23" t="s">
        <v>424</v>
      </c>
      <c r="E37" s="15" t="s">
        <v>1180</v>
      </c>
      <c r="F37" s="15">
        <v>6</v>
      </c>
      <c r="G37" s="15">
        <v>10</v>
      </c>
      <c r="H37" s="15"/>
      <c r="I37" s="17"/>
      <c r="J37" s="17">
        <v>9</v>
      </c>
      <c r="K37" s="17">
        <v>9</v>
      </c>
      <c r="L37" s="19">
        <f t="shared" si="0"/>
        <v>8.6999999999999993</v>
      </c>
      <c r="M37" s="17" t="s">
        <v>33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2305338491</v>
      </c>
      <c r="C38" s="24" t="s">
        <v>1181</v>
      </c>
      <c r="D38" s="22" t="s">
        <v>752</v>
      </c>
      <c r="E38" s="13" t="s">
        <v>1182</v>
      </c>
      <c r="F38" s="13">
        <v>9</v>
      </c>
      <c r="G38" s="13">
        <v>9</v>
      </c>
      <c r="H38" s="13"/>
      <c r="I38" s="16"/>
      <c r="J38" s="16">
        <v>9</v>
      </c>
      <c r="K38" s="16">
        <v>7.5</v>
      </c>
      <c r="L38" s="18">
        <f t="shared" si="0"/>
        <v>8.4</v>
      </c>
      <c r="M38" s="16" t="s">
        <v>22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2305338492</v>
      </c>
      <c r="C39" s="24" t="s">
        <v>1183</v>
      </c>
      <c r="D39" s="22" t="s">
        <v>238</v>
      </c>
      <c r="E39" s="13" t="s">
        <v>1184</v>
      </c>
      <c r="F39" s="13">
        <v>10</v>
      </c>
      <c r="G39" s="13">
        <v>10</v>
      </c>
      <c r="H39" s="13"/>
      <c r="I39" s="16"/>
      <c r="J39" s="16">
        <v>9</v>
      </c>
      <c r="K39" s="16">
        <v>8</v>
      </c>
      <c r="L39" s="18">
        <f t="shared" si="0"/>
        <v>8.9</v>
      </c>
      <c r="M39" s="16" t="s">
        <v>22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2305338493</v>
      </c>
      <c r="C40" s="24" t="s">
        <v>1185</v>
      </c>
      <c r="D40" s="22" t="s">
        <v>241</v>
      </c>
      <c r="E40" s="13" t="s">
        <v>1186</v>
      </c>
      <c r="F40" s="13">
        <v>8</v>
      </c>
      <c r="G40" s="13">
        <v>7</v>
      </c>
      <c r="H40" s="13"/>
      <c r="I40" s="16"/>
      <c r="J40" s="16">
        <v>9</v>
      </c>
      <c r="K40" s="16">
        <v>5</v>
      </c>
      <c r="L40" s="18">
        <f t="shared" si="0"/>
        <v>6.9</v>
      </c>
      <c r="M40" s="16" t="s">
        <v>22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2304664204</v>
      </c>
      <c r="C41" s="24" t="s">
        <v>1187</v>
      </c>
      <c r="D41" s="22" t="s">
        <v>1117</v>
      </c>
      <c r="E41" s="13" t="s">
        <v>813</v>
      </c>
      <c r="F41" s="13">
        <v>6</v>
      </c>
      <c r="G41" s="13">
        <v>4</v>
      </c>
      <c r="H41" s="13"/>
      <c r="I41" s="16"/>
      <c r="J41" s="16">
        <v>9</v>
      </c>
      <c r="K41" s="16">
        <v>5</v>
      </c>
      <c r="L41" s="18">
        <f t="shared" si="0"/>
        <v>6.1</v>
      </c>
      <c r="M41" s="16" t="s">
        <v>33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2305338494</v>
      </c>
      <c r="C42" s="25" t="s">
        <v>1188</v>
      </c>
      <c r="D42" s="23" t="s">
        <v>345</v>
      </c>
      <c r="E42" s="15" t="s">
        <v>1189</v>
      </c>
      <c r="F42" s="15">
        <v>8</v>
      </c>
      <c r="G42" s="15">
        <v>8</v>
      </c>
      <c r="H42" s="15"/>
      <c r="I42" s="17"/>
      <c r="J42" s="17">
        <v>9</v>
      </c>
      <c r="K42" s="17">
        <v>9</v>
      </c>
      <c r="L42" s="19">
        <f t="shared" si="0"/>
        <v>8.6999999999999993</v>
      </c>
      <c r="M42" s="17" t="s">
        <v>22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2304664206</v>
      </c>
      <c r="C43" s="24" t="s">
        <v>1190</v>
      </c>
      <c r="D43" s="22" t="s">
        <v>255</v>
      </c>
      <c r="E43" s="13" t="s">
        <v>969</v>
      </c>
      <c r="F43" s="13">
        <v>8</v>
      </c>
      <c r="G43" s="13">
        <v>7.5</v>
      </c>
      <c r="H43" s="13"/>
      <c r="I43" s="16"/>
      <c r="J43" s="16">
        <v>8.5</v>
      </c>
      <c r="K43" s="16">
        <v>5</v>
      </c>
      <c r="L43" s="18">
        <f t="shared" si="0"/>
        <v>6.8</v>
      </c>
      <c r="M43" s="16" t="s">
        <v>22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2308526903</v>
      </c>
      <c r="C44" s="24" t="s">
        <v>521</v>
      </c>
      <c r="D44" s="22" t="s">
        <v>607</v>
      </c>
      <c r="E44" s="13" t="s">
        <v>1191</v>
      </c>
      <c r="F44" s="13">
        <v>10</v>
      </c>
      <c r="G44" s="13">
        <v>9</v>
      </c>
      <c r="H44" s="13"/>
      <c r="I44" s="16"/>
      <c r="J44" s="16">
        <v>9</v>
      </c>
      <c r="K44" s="16">
        <v>10</v>
      </c>
      <c r="L44" s="18">
        <f t="shared" si="0"/>
        <v>9.6</v>
      </c>
      <c r="M44" s="16" t="s">
        <v>22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2305338495</v>
      </c>
      <c r="C45" s="24" t="s">
        <v>1192</v>
      </c>
      <c r="D45" s="22" t="s">
        <v>609</v>
      </c>
      <c r="E45" s="13" t="s">
        <v>1193</v>
      </c>
      <c r="F45" s="13">
        <v>8</v>
      </c>
      <c r="G45" s="13">
        <v>10</v>
      </c>
      <c r="H45" s="13"/>
      <c r="I45" s="16"/>
      <c r="J45" s="16">
        <v>9</v>
      </c>
      <c r="K45" s="16">
        <v>8</v>
      </c>
      <c r="L45" s="18">
        <f t="shared" si="0"/>
        <v>8.6</v>
      </c>
      <c r="M45" s="16" t="s">
        <v>22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2305338496</v>
      </c>
      <c r="C46" s="24" t="s">
        <v>1194</v>
      </c>
      <c r="D46" s="22" t="s">
        <v>1195</v>
      </c>
      <c r="E46" s="13" t="s">
        <v>1196</v>
      </c>
      <c r="F46" s="13">
        <v>5</v>
      </c>
      <c r="G46" s="13">
        <v>5</v>
      </c>
      <c r="H46" s="13"/>
      <c r="I46" s="16"/>
      <c r="J46" s="16">
        <v>5</v>
      </c>
      <c r="K46" s="16">
        <v>5</v>
      </c>
      <c r="L46" s="18">
        <f t="shared" si="0"/>
        <v>5</v>
      </c>
      <c r="M46" s="16" t="s">
        <v>274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2304664209</v>
      </c>
      <c r="C47" s="25" t="s">
        <v>1197</v>
      </c>
      <c r="D47" s="23" t="s">
        <v>139</v>
      </c>
      <c r="E47" s="15" t="s">
        <v>1021</v>
      </c>
      <c r="F47" s="15">
        <v>8</v>
      </c>
      <c r="G47" s="15">
        <v>9.5</v>
      </c>
      <c r="H47" s="15"/>
      <c r="I47" s="17"/>
      <c r="J47" s="17">
        <v>8.5</v>
      </c>
      <c r="K47" s="17">
        <v>6</v>
      </c>
      <c r="L47" s="19">
        <f t="shared" si="0"/>
        <v>7.5</v>
      </c>
      <c r="M47" s="17" t="s">
        <v>22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1">
        <v>41</v>
      </c>
      <c r="B48" s="15">
        <v>2305338497</v>
      </c>
      <c r="C48" s="25" t="s">
        <v>1198</v>
      </c>
      <c r="D48" s="23" t="s">
        <v>359</v>
      </c>
      <c r="E48" s="15" t="s">
        <v>1199</v>
      </c>
      <c r="F48" s="15">
        <v>7</v>
      </c>
      <c r="G48" s="15">
        <v>10</v>
      </c>
      <c r="H48" s="15"/>
      <c r="I48" s="17"/>
      <c r="J48" s="17">
        <v>8.5</v>
      </c>
      <c r="K48" s="17">
        <v>5</v>
      </c>
      <c r="L48" s="19">
        <f t="shared" si="0"/>
        <v>7</v>
      </c>
      <c r="M48" s="17" t="s">
        <v>42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39" t="s">
        <v>141</v>
      </c>
      <c r="B49" s="40"/>
      <c r="C49" s="41"/>
      <c r="D49" s="41"/>
      <c r="E49" s="41"/>
      <c r="F49" s="40"/>
      <c r="G49" s="40"/>
      <c r="H49" s="40"/>
      <c r="I49" s="40"/>
      <c r="J49" s="42"/>
      <c r="K49" s="8"/>
      <c r="L49" s="9"/>
      <c r="M49" s="10"/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43"/>
      <c r="B50" s="33"/>
      <c r="C50" s="44"/>
      <c r="D50" s="45"/>
      <c r="E50" s="45"/>
      <c r="F50" s="46"/>
      <c r="G50" s="46"/>
      <c r="H50" s="46"/>
      <c r="I50" s="46"/>
      <c r="J50" s="47"/>
    </row>
    <row r="51" spans="1:37" ht="12.75" customHeight="1" x14ac:dyDescent="0.35">
      <c r="A51" s="48" t="s">
        <v>142</v>
      </c>
      <c r="B51" s="33"/>
      <c r="C51" s="44"/>
      <c r="D51" s="45" t="s">
        <v>143</v>
      </c>
      <c r="E51" s="45"/>
      <c r="F51" s="46" t="str">
        <f>TEXT(COUNTIF(L8:L48,"&gt;="&amp;Q51),"#0")</f>
        <v>14</v>
      </c>
      <c r="G51" s="46"/>
      <c r="H51" s="31" t="s">
        <v>144</v>
      </c>
      <c r="I51" s="46" t="str">
        <f>ROUND(F51/IF(COUNTIF(L8:L48,"&gt;=0")=0,1,COUNTIF(L8:L48,"&gt;=0")),4)*100&amp;"%"</f>
        <v>34.15%</v>
      </c>
      <c r="J51" s="47"/>
      <c r="Q51" s="26">
        <v>7.95</v>
      </c>
    </row>
    <row r="52" spans="1:37" ht="12.75" customHeight="1" x14ac:dyDescent="0.35">
      <c r="A52" s="43" t="s">
        <v>145</v>
      </c>
      <c r="B52" s="33"/>
      <c r="C52" s="44"/>
      <c r="D52" s="45" t="s">
        <v>146</v>
      </c>
      <c r="E52" s="45"/>
      <c r="F52" s="46" t="str">
        <f>TEXT(COUNTIF(L8:L48,"&gt;="&amp;Q52)-F51,"#0")</f>
        <v>22</v>
      </c>
      <c r="G52" s="46"/>
      <c r="H52" s="31" t="s">
        <v>144</v>
      </c>
      <c r="I52" s="46" t="str">
        <f>ROUND(F52/IF(COUNTIF(L8:L48,"&gt;=0")=0,1,COUNTIF(L8:L48,"&gt;=0")),4)*100&amp;"%"</f>
        <v>53.66%</v>
      </c>
      <c r="J52" s="47"/>
      <c r="Q52" s="26">
        <v>6.45</v>
      </c>
    </row>
    <row r="53" spans="1:37" ht="12.75" customHeight="1" x14ac:dyDescent="0.35">
      <c r="A53" s="27"/>
      <c r="D53" s="45" t="s">
        <v>147</v>
      </c>
      <c r="E53" s="45"/>
      <c r="F53" s="46" t="str">
        <f>TEXT(COUNTIF(L8:L48,"&gt;="&amp;Q53)-F52-F51,"#0")</f>
        <v>5</v>
      </c>
      <c r="G53" s="46"/>
      <c r="H53" s="31" t="s">
        <v>144</v>
      </c>
      <c r="I53" s="46" t="str">
        <f>ROUND(F53/IF(COUNTIF(L8:L48,"&gt;=0")=0,1,COUNTIF(L8:L48,"&gt;=0")),4)*100&amp;"%"</f>
        <v>12.2%</v>
      </c>
      <c r="J53" s="47"/>
      <c r="Q53" s="26">
        <v>4.95</v>
      </c>
    </row>
    <row r="54" spans="1:37" ht="12.75" customHeight="1" x14ac:dyDescent="0.35">
      <c r="A54" s="28"/>
      <c r="B54" s="29"/>
      <c r="C54" s="30"/>
      <c r="D54" s="49" t="s">
        <v>148</v>
      </c>
      <c r="E54" s="49"/>
      <c r="F54" s="50" t="str">
        <f>TEXT(COUNTIF(L8:L48,"&gt;=0")-F50-F51-F52-F53,"#0")</f>
        <v>0</v>
      </c>
      <c r="G54" s="50"/>
      <c r="H54" s="32" t="s">
        <v>144</v>
      </c>
      <c r="I54" s="50" t="str">
        <f>ROUND(F54/IF(COUNTIF(L8:L48,"&gt;=0")=0,1,COUNTIF(L8:L48,"&gt;=0")),4)*100&amp;"%"</f>
        <v>0%</v>
      </c>
      <c r="J54" s="51"/>
    </row>
    <row r="65536" ht="14.5" x14ac:dyDescent="0.35"/>
  </sheetData>
  <mergeCells count="32">
    <mergeCell ref="D53:E53"/>
    <mergeCell ref="F53:G53"/>
    <mergeCell ref="I53:J53"/>
    <mergeCell ref="D54:E54"/>
    <mergeCell ref="F54:G54"/>
    <mergeCell ref="I54:J54"/>
    <mergeCell ref="A49:J50"/>
    <mergeCell ref="A51:C51"/>
    <mergeCell ref="D51:E51"/>
    <mergeCell ref="F51:G51"/>
    <mergeCell ref="I51:J51"/>
    <mergeCell ref="A52:C52"/>
    <mergeCell ref="D52:E52"/>
    <mergeCell ref="F52:G52"/>
    <mergeCell ref="I52:J52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48">
    <dataValidation type="list" allowBlank="1" showInputMessage="1" showErrorMessage="1" errorTitle="Thông báo" error="Bạn phải nhập [Đạt] = d, Đ, đ, 1   [Chưa đạt] = c, CĐ, cđ, 2" sqref="C5" xr:uid="{BDB837A4-7DAE-4C47-BBAB-CEC5DBB460B4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B723B7D9-C63B-4C61-8DD7-E3A217FC4243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E078568D-3CA1-4DB8-B405-17D94AFF3B1C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CC044F26-1E2F-470C-A077-D558C0F1C309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767E0444-F723-489C-B13F-6E3367390E80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48F5684B-DB2C-463F-9884-D27AF8907AA0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4761EB40-1089-4D17-9F5B-2848104C8241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4235917C-CC86-4392-B789-6BEB70C00A27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A97E37FF-BA61-4760-8CB4-BA3B0840022D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55664A67-799A-4A61-8280-9DE0119BB218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A7B0FA3C-0E8C-4D85-A75D-2BA06AEA5AB6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661E6E5E-84AB-4D38-BD2C-4842EDA8A1E3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50234AEA-4631-4C5F-A487-E5F32261CE19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99BEC081-236E-4FB4-B86A-A29DC783D2D9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272BC778-0085-42A9-A53F-F12195A75A92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9AFE3A8A-8358-47CE-98D7-3D075D0493C7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847B8695-54B1-4F0D-9207-C6479DAFC128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BB3AA034-4F5A-4928-B277-6C53C818E582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008B866B-1048-4704-A7D7-F4C8F8F57D8F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8DB7FD40-4033-4114-B939-FB3E7FA935AB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D8E381C5-4E8A-4C53-9421-818FD42192C2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33EEEED2-1F00-4E78-96E5-3CB2075B201B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6B190DAC-D550-4393-96CA-7F2FC31FB032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13C7B5FF-EEE9-48C9-BF34-C2C669531A62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EFAD2845-2DEB-41A1-BDBF-00F773C95CBB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19233C09-93E9-43FC-B4B4-220C28AE5833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EE7A464F-9DC9-47B4-99AD-A1419C875D8D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AF2EE46D-D224-47C6-954C-7C0047B8D3BC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3E2B7E6E-EABF-493C-B8C2-0121D0A51F92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0BF8C6F2-6060-4F1F-9F8F-6421BDAC3EBF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ABC1EDEC-0C72-4EE6-AA21-732980E2A9F5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CA56E223-1B6E-4682-8626-71A2C42C671D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315D58D4-806B-41DB-BCE5-145D9128370E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E300648A-1888-4E0C-B1EF-880F43389FED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CDC117EB-5D9D-4DA5-AA83-F6F2880A631D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F658F645-476F-41EE-9FCF-108A6327D059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F16A401B-C116-4F11-833D-7194A31BAC66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AB733ECF-44CC-4E87-957F-D7FA69969016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E6CC1D37-0EFB-4B2A-AC9A-701D73E9CFF7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B9978C86-292D-41E1-B8B6-FEF5EF43E46B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B7F4240B-28E6-4766-BB1F-D8C4243BCAA7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73FB531B-229F-42BE-A410-418BC56E42F6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C1F36E68-AED5-4411-A0BB-FFFF59E863C8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D103B724-9084-4626-A337-565641C648AE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5F1653ED-2039-435E-BC68-EBFD01ECCAC7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94B87FFE-A44F-4AE0-AF3A-9C76322EEC49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1B0ABBC7-6177-494A-88F0-8CA5B84C5CE3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4EDA8256-526F-41DC-9C9D-4DD8B3B9FD02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7491A970-DD02-48DC-B221-7FEEDDB634F8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A76240E5-F334-4AA9-BC72-EFF75E9C2DCD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3DBEE2ED-9C77-4708-A310-D36AF3185666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FEA1A7F3-BCF3-4919-9A75-A2928BC8C0AC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0685F088-E848-4498-9498-6A7813124949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67A614C4-121E-4D03-AA7E-C3BB834DC870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172DA6C7-9411-4CA2-A830-F407126C28A2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1499F25F-31CE-444E-AEC9-438DC818527A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AEE3371F-A2B9-43CD-98DA-470FA9A28A93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BF54FE1F-6D3F-4968-946D-43F687A0F327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133195CD-96A3-4F0C-8C48-126FBB05316E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80AEE79B-7B12-4CDE-813D-F653C7FFC4A9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3718C692-1781-4AFE-AD13-BDA804AE61FC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34D448E1-EB29-4CC8-AE23-29DA06256E1E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F763A8EC-3621-4615-8BF9-762FA8C73ADA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BDC1E4C1-6413-4A45-A4C9-88392FE14E5E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4AC37B6E-67E3-448B-A7A5-E9932EDD007E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F2AB7AA4-45FC-49E6-BB2D-1C07F2A03C0F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09DD14CA-1372-4192-A339-9FCE824158BD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2220CBD2-8BA3-475B-8178-92E42EEF9C71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663206F8-45AA-48C6-A840-4F1723E941B0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A57B8173-BB5C-4840-8574-3F8FD6B046F0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4C6AFC92-00FB-4FC5-9F27-649B9BA5BCF0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A1EA42D7-C68B-4FD6-9F80-A3370F3E946A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3DFE4C78-5243-4E2A-B35E-0791700F0346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E5FB8015-B640-4EC6-9D8A-24072B559217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662C62B9-674F-4E2D-A010-4DBAE5A3E6F5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3C00A8A5-FB81-4ACA-8790-68C971E5BA33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4DAA514F-64A4-4A64-BD0F-323339E69663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5F7C1545-032F-4181-B95F-6EF0E340CA04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46FB8CDE-DCD4-4675-AFF7-03F89881FE2D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19EB662E-2ECA-4419-9AFF-9B448A66A57C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839724A6-430B-4D14-AEC9-7CE5031FC14E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A1F310C6-05D1-4BDC-A0AD-8159F8212CBF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2905BFF1-56A3-4329-967C-9C5270FC171A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C19A2FCB-352C-46F1-B96E-8F690BDAC483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9B679E48-A7CA-4A97-BA47-794E74667D95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7B470A85-A25B-4225-BF7F-67E970E6B4BA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0ABE1DDE-15BF-48E4-A624-6F8E09DE9630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1E713D96-DF1A-4DD1-81B7-3C19531A431D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2B127115-74C6-4984-97F3-7F903381EDA4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433D729D-7A19-413A-B340-E2AECC0862A2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68CF6E79-9220-49E1-B67C-75A29933992B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77B81049-6EB8-4FCF-B861-56CBC139A849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14BDB8CA-944F-4017-96FB-DD6A6BB0EF7B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D07FEDD5-7823-4819-801B-569E6559F97E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8BB07F4C-46E1-4D87-9AF8-5500F279A7A5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8D389341-CA14-4A38-B59D-BC4F0C32B3F5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3BE8416F-CF29-42F0-A8C8-B79C1FFDC760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6E033F0F-CA1B-4122-9952-C4EE354C2A64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B7D7AAF8-85F0-4EC0-9941-A08415ABF522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4823684A-FC77-4430-A45B-E65C85BFAFD9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ACC2D48C-6F36-49B8-99E9-E3431284C322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A3FE6591-B6BA-478F-8F65-2CDC4D2A94DB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D95A9C2C-23D6-47E7-82DC-78AA82DD5175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C7658B43-2C32-4B6E-960C-F264662AC97D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FF5D5ABE-5637-4DBC-A1C6-A78E4418DB87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230A53B2-F044-493A-B441-7F8589F94FD0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EE82C3F2-1152-40B3-8292-A18A50A059B8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F40AA52C-599E-401D-B475-BCB3BA50E277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BC31596A-A358-43CD-98BD-4C6D911861E2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C1DFDBDD-A4FA-4DC2-9F7C-5741320E82E5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18363852-CAE9-497D-8CAF-CAAF6271744F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886F2AF4-F0C9-4FD2-9D48-D0BA9868972B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011F9D93-ABCC-4A67-BA2F-9D13B15631F5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9CAB1336-93E4-4D38-BE7C-C2E68C89F97E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C4DABB62-86E8-43AD-AC8D-17BE31729634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502A3234-4E9C-4639-85F1-44A104D47939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4351C6CB-3499-4F29-9C52-D0027C7BBED5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FE927B9D-EE52-48AE-BC73-26B15ECD13BC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49F6647C-4D1D-4B4E-992A-A34997D35ECA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D20AD50B-2329-4441-81D0-5672901B3C42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DF1D8280-03EF-419B-BAE7-2AC2FE4EF248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8F07C9B4-C64F-434C-8237-4BD1A0F3BD54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CEB85BF3-4CAB-4FE9-B7AA-041D87AB2DAF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15FD2F51-F9DB-46AE-B459-A81BB2665CEE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79EF0E82-C4BA-471B-97E5-2EBFA50610F8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82F0BE48-9CBF-4131-8972-029B09AAF855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9410AA7B-ED9B-4FBE-A9B1-7AA698764455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0D140F4F-969A-46E1-9FCD-B4507A927040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A4A5D391-39D7-48F2-857B-165A293D0093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4A2B2F2A-67B1-4560-B35C-D85EB3AB0066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8193AE30-B10E-42D1-BAD2-4E7BD29549CC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B0BA59E4-6F1E-4C5B-9F89-EE0EFEDB40BB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185B9AE6-F028-4CCB-A149-A9B5BB259085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6AA71172-21F6-4406-B560-342AC3E03710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A527DF57-650A-44DF-8AC0-401172A08ADA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139A92E6-F8B9-4830-A6F5-7D94EACC0F16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E6E0A8D6-9F49-4DC7-92A3-56A268A37237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E6C20FD1-5968-4431-8CB5-14DA32412CE3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3C5E79C4-FDEF-445E-981C-1605058140B2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657D0DBF-318A-45D7-A362-A5C1C2541950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70121F7D-1550-48CA-ADB7-FB65602E5BD3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7B3DFE03-56AC-4010-B218-E95EA0D76109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15B7FC5E-7CCF-4923-A794-9AA4A65FCBEB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3F1DA7B1-2C4B-4C29-B1DD-BBAA84F2A7EC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BF983D78-4820-440C-821C-A0AA597804AB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F5BDF79B-BF09-4FA9-8F23-291882FB032F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BDA08828-08BD-4970-A5BC-D7A18BC02D9B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CDF69819-ADF1-4355-A009-0CB7F046B4A4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0F8153A5-EF6F-4C37-9B43-10CF0BE5A67D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29CA32F0-93E8-4523-872C-01DC2EBFD875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D766E9D6-C6DF-4B1E-A686-81648B7DD74B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F9BBE76D-9774-48BC-A081-3C6C0A59504E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D69585A2-7E5A-49B5-BCEA-F97CE2416F90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F3CBFCF9-B5F3-43E2-84BB-09C926FFACBF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A3D630E0-4ACA-475A-A0A6-100A50F13F22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FF28C998-34A5-4816-A0B7-C6DD0B8E5E26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C16ED3AF-DB40-47E1-ADF3-00E2F50ACC41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4A8EC91A-A07E-4A4B-A40B-5F8137ADA7C5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C757DCD6-846A-474B-91AC-5DD726B8E5F3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9D73DC8B-33A0-4713-A254-385802F09ADC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0E963EE8-E7BD-4926-BAF6-4902FDE622DA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E2EB1476-70C1-4CBF-A745-F44282C0A4A5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7EEE17E7-ACB9-4BB5-937D-153F3124B060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41D65C3F-B849-44BF-9625-CF12B00D0E32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C9F50098-79C9-48EA-A359-9E8511883663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2DBAB072-7510-469A-90E6-493DC7590931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AD5B0878-2C10-4B5B-BDAF-74CAF4F1086B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B5A73949-FE51-4AE7-81B0-A4E7FA555582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52C9F8AD-DF49-4F6D-931B-87FC2539952A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0EE6D306-C13E-49B5-9604-4E60A03DE8A5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FAA91C34-FD75-40F1-BC3B-F6FD7CB814C3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8B959A8F-0A1B-4138-8F35-35730C3F1F0E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F79D9E64-97A6-473E-AE93-EFF914CE2948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94FFF22B-7A0C-46D3-8E12-88837482143A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FBA3D959-5785-4EC1-9BD0-01AD2209CFC2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CEF9F6B5-9E12-4E96-83B7-49AD7BAE293C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6B6BA3F5-47FE-469B-8BA1-D3CA29A91B06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78C24850-B456-4BCE-8B1B-308392A38365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3339E3A8-BFAE-4397-8642-ABE52D1141D9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73C81ABC-EC31-48D4-AD03-BADE354997AC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2B7676A2-195C-43E2-B43D-1024276A1B35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BDCF2BFF-2AAB-45E4-B672-84AD3F731C1F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045F959B-DB20-45C9-A85F-4AF70768EB87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B2F51C80-48E8-48C7-8110-66184503AB90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2F0C756F-2CC4-45CF-83BC-9A2024D92AF7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78994F65-BCB7-494A-BB4E-CD5887D0659D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FBB8BE60-80B9-4BAB-8704-4283C6C51FD4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9A07247C-8D29-4CBB-91D9-F85AAC3A8E4D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65C1E2D3-AB6F-4CF9-B437-C3C6C80CF0F4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CA6DC796-5F2F-4F61-BA32-E946134E05D9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6074374D-81A2-45F7-B7A2-764904CB3089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EDBDC24A-2C59-4EDB-A6C5-775064A6AA13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C12CDB1B-F106-488D-AF18-CBDEE54113B0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B7AC9B04-B14B-4E91-BA09-B2F4BC423905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D5BF722C-F495-4CD6-BB33-D7F713B6125A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6EE38B58-F6D9-4333-9E6A-F88523ED353D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B3970D0F-4BAF-470A-B2E0-04BB54A6A631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7123523F-AA52-4DA8-948E-B3C0EE81C22E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30D96917-A217-460C-86E9-9731D41FAC10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E8733C98-CC2A-4842-89D8-B870D874D034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B9202FB1-898E-41D0-A72F-14858B6BB504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0F3AB929-4C76-4554-BDE7-BB9E2D47A49A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BCF1EF26-FAB7-4DCB-A842-D0EC6C23CC8A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DF11C81D-0574-4FF5-8137-AD2726B2A878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E7C350C2-2F7E-47BA-8EC3-C1E125C32B08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84A7A7AC-D631-41B6-9E29-F68B3BBC7C27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C23BC5AD-43A0-4A05-9D06-07C89E68AEFA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272D38F3-97CF-4BB7-991E-08A1ED2203A4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A894A739-8410-4561-B0AE-17153AE752FF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9E60C4FB-52D1-4387-97B1-621C954EE3A4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CA5431CA-C76D-4F32-B420-D31C9FFD7EB0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C803760C-EC44-46DD-9A79-23771C8F6625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D6E52D5E-F215-4524-8E68-A44F735D33AD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C9FAC6F4-F974-43C8-A9E3-FE9E8365FB22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6679BA52-AC0A-4523-8F16-8EF318A9E325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442F74EB-0254-498A-8DD8-7A4E56AD4F18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DB24FF26-4B7C-4CCB-8F72-9683BDF0DB90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580C9865-203B-4D63-8BE1-5BD283FE02EE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1322D6D5-E48B-4FF5-BF5D-E6BB66F53199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81CCE1BB-5BF8-46AD-9DE6-093443F9199F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CEA9B092-FB5E-4C28-93FC-F2E111BFC38A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36FEA006-B1EE-44BE-8DF3-CE77D29DECA9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69DE7DC8-430C-4610-9F0E-DBC05F14FD81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D5E6822B-1283-4C83-81B7-EA0030DDCF56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AFBA9926-3701-46DF-A74F-38CC75525F5D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F7088062-A932-4E17-8978-6E8C0B71F78E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9026EBD8-48E1-4D13-B2EE-F7A235820887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F794520E-273F-4030-B4B0-44B62DC39BAA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70DEB48C-1D00-4DD1-A359-B9F5832FCA31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C3F6E44A-5876-49D4-A455-D7955E011C56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3A5764CC-98BC-4559-BB79-46DC58C9EAFF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DB00EF16-603A-41AB-9677-91CC59992FBC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B2B7D669-B747-42EF-863B-F25C9A056D07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0C95AAA3-0B08-4F44-868C-60A436E3BC03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7E70D710-A7B6-43C4-8861-7994FAF1D20D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8C2D64DA-6A32-462C-AC65-C30EBCD451BC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1C6F3AFA-A885-40ED-A9E7-E53F5E04A42F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78EE63C2-9BC5-426C-8EB3-F3665F897621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70F9D474-7E36-4867-B7BB-4C41B8987C78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4245BD29-78C7-439E-989A-D3F5F1C118A8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C51D5505-F64E-4800-83D0-038744C8F489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BC8E0204-DEA7-4850-B6AD-BB4910694DDB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A45CC2D6-A104-4E94-AEFD-F911192AFFA7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C9AE9F8C-974E-4FB0-8209-07710E0EAD75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3D56A3D7-32A2-4FFA-B818-2E6FB50E995B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3D4CF793-0013-43BF-ABBA-0024B3052F90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26ECE05C-1C0B-4120-BE20-451E39E698FA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ABBB051B-66A2-401A-A840-572239ADE905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67D1-9CE3-4071-B629-608B26116D7E}">
  <dimension ref="A1:AK65536"/>
  <sheetViews>
    <sheetView showRuler="0" zoomScaleNormal="100" workbookViewId="0">
      <selection activeCell="D47" sqref="D47:J51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1200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2304663099</v>
      </c>
      <c r="C8" s="24" t="s">
        <v>1201</v>
      </c>
      <c r="D8" s="22" t="s">
        <v>1202</v>
      </c>
      <c r="E8" s="13" t="s">
        <v>1119</v>
      </c>
      <c r="F8" s="13">
        <v>10</v>
      </c>
      <c r="G8" s="13">
        <v>8</v>
      </c>
      <c r="H8" s="13"/>
      <c r="I8" s="16"/>
      <c r="J8" s="16">
        <v>10</v>
      </c>
      <c r="K8" s="16">
        <v>7.5</v>
      </c>
      <c r="L8" s="18">
        <f t="shared" ref="L8:L45" si="0">IF((COUNT(F8:I8)+COUNT(J8:J8)*2+COUNT(K8:K8)*3),ROUND((SUM(F8:I8)+SUM(J8:J8)*2+SUM(K8:K8)*3)/(COUNT(F8:I8)+COUNT(J8:J8)*2+COUNT(K8:K8)*3),1),"")</f>
        <v>8.6</v>
      </c>
      <c r="M8" s="16" t="s">
        <v>22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2304662532</v>
      </c>
      <c r="C9" s="24" t="s">
        <v>1203</v>
      </c>
      <c r="D9" s="22" t="s">
        <v>1204</v>
      </c>
      <c r="E9" s="13" t="s">
        <v>892</v>
      </c>
      <c r="F9" s="13">
        <v>10</v>
      </c>
      <c r="G9" s="13">
        <v>5</v>
      </c>
      <c r="H9" s="13"/>
      <c r="I9" s="16"/>
      <c r="J9" s="16">
        <v>10</v>
      </c>
      <c r="K9" s="16">
        <v>6</v>
      </c>
      <c r="L9" s="18">
        <f t="shared" si="0"/>
        <v>7.6</v>
      </c>
      <c r="M9" s="16" t="s">
        <v>22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2304662533</v>
      </c>
      <c r="C10" s="24" t="s">
        <v>1205</v>
      </c>
      <c r="D10" s="22" t="s">
        <v>175</v>
      </c>
      <c r="E10" s="13" t="s">
        <v>1206</v>
      </c>
      <c r="F10" s="13">
        <v>9</v>
      </c>
      <c r="G10" s="13">
        <v>10</v>
      </c>
      <c r="H10" s="13"/>
      <c r="I10" s="16"/>
      <c r="J10" s="16">
        <v>9</v>
      </c>
      <c r="K10" s="16">
        <v>7</v>
      </c>
      <c r="L10" s="18">
        <f t="shared" si="0"/>
        <v>8.3000000000000007</v>
      </c>
      <c r="M10" s="16" t="s">
        <v>22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2304662535</v>
      </c>
      <c r="C11" s="24" t="s">
        <v>1207</v>
      </c>
      <c r="D11" s="22" t="s">
        <v>712</v>
      </c>
      <c r="E11" s="13" t="s">
        <v>1208</v>
      </c>
      <c r="F11" s="13">
        <v>10</v>
      </c>
      <c r="G11" s="13">
        <v>6.5</v>
      </c>
      <c r="H11" s="13"/>
      <c r="I11" s="16"/>
      <c r="J11" s="16">
        <v>6.5</v>
      </c>
      <c r="K11" s="16">
        <v>5</v>
      </c>
      <c r="L11" s="18">
        <f t="shared" si="0"/>
        <v>6.4</v>
      </c>
      <c r="M11" s="16" t="s">
        <v>22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2304662536</v>
      </c>
      <c r="C12" s="25" t="s">
        <v>678</v>
      </c>
      <c r="D12" s="23" t="s">
        <v>1140</v>
      </c>
      <c r="E12" s="15" t="s">
        <v>1209</v>
      </c>
      <c r="F12" s="15">
        <v>4</v>
      </c>
      <c r="G12" s="15">
        <v>5</v>
      </c>
      <c r="H12" s="15"/>
      <c r="I12" s="17"/>
      <c r="J12" s="17">
        <v>5</v>
      </c>
      <c r="K12" s="17">
        <v>5</v>
      </c>
      <c r="L12" s="19">
        <f t="shared" si="0"/>
        <v>4.9000000000000004</v>
      </c>
      <c r="M12" s="17" t="s">
        <v>460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2304662540</v>
      </c>
      <c r="C13" s="24" t="s">
        <v>1210</v>
      </c>
      <c r="D13" s="22" t="s">
        <v>1211</v>
      </c>
      <c r="E13" s="13" t="s">
        <v>1052</v>
      </c>
      <c r="F13" s="13">
        <v>9</v>
      </c>
      <c r="G13" s="13">
        <v>8.5</v>
      </c>
      <c r="H13" s="13"/>
      <c r="I13" s="16"/>
      <c r="J13" s="16">
        <v>6</v>
      </c>
      <c r="K13" s="16">
        <v>5</v>
      </c>
      <c r="L13" s="18">
        <f t="shared" si="0"/>
        <v>6.4</v>
      </c>
      <c r="M13" s="16" t="s">
        <v>22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2304662541</v>
      </c>
      <c r="C14" s="24" t="s">
        <v>1212</v>
      </c>
      <c r="D14" s="22" t="s">
        <v>1213</v>
      </c>
      <c r="E14" s="13" t="s">
        <v>828</v>
      </c>
      <c r="F14" s="13">
        <v>6</v>
      </c>
      <c r="G14" s="13">
        <v>9.5</v>
      </c>
      <c r="H14" s="13"/>
      <c r="I14" s="16"/>
      <c r="J14" s="16">
        <v>5.5</v>
      </c>
      <c r="K14" s="16">
        <v>5</v>
      </c>
      <c r="L14" s="18">
        <f t="shared" si="0"/>
        <v>5.9</v>
      </c>
      <c r="M14" s="16" t="s">
        <v>33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2304662538</v>
      </c>
      <c r="C15" s="24" t="s">
        <v>1214</v>
      </c>
      <c r="D15" s="22" t="s">
        <v>624</v>
      </c>
      <c r="E15" s="13" t="s">
        <v>1189</v>
      </c>
      <c r="F15" s="13">
        <v>6</v>
      </c>
      <c r="G15" s="13">
        <v>9</v>
      </c>
      <c r="H15" s="13"/>
      <c r="I15" s="16"/>
      <c r="J15" s="16">
        <v>9</v>
      </c>
      <c r="K15" s="16">
        <v>8</v>
      </c>
      <c r="L15" s="18">
        <f t="shared" si="0"/>
        <v>8.1</v>
      </c>
      <c r="M15" s="16" t="s">
        <v>33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2304662537</v>
      </c>
      <c r="C16" s="24" t="s">
        <v>645</v>
      </c>
      <c r="D16" s="22" t="s">
        <v>50</v>
      </c>
      <c r="E16" s="13" t="s">
        <v>797</v>
      </c>
      <c r="F16" s="13">
        <v>10</v>
      </c>
      <c r="G16" s="13">
        <v>10</v>
      </c>
      <c r="H16" s="13"/>
      <c r="I16" s="16"/>
      <c r="J16" s="16">
        <v>8</v>
      </c>
      <c r="K16" s="16">
        <v>6</v>
      </c>
      <c r="L16" s="18">
        <f t="shared" si="0"/>
        <v>7.7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2304662543</v>
      </c>
      <c r="C17" s="25" t="s">
        <v>346</v>
      </c>
      <c r="D17" s="23" t="s">
        <v>294</v>
      </c>
      <c r="E17" s="15" t="s">
        <v>1215</v>
      </c>
      <c r="F17" s="15">
        <v>10</v>
      </c>
      <c r="G17" s="15">
        <v>8.5</v>
      </c>
      <c r="H17" s="15"/>
      <c r="I17" s="17"/>
      <c r="J17" s="17">
        <v>9</v>
      </c>
      <c r="K17" s="17">
        <v>6.5</v>
      </c>
      <c r="L17" s="19">
        <f t="shared" si="0"/>
        <v>8</v>
      </c>
      <c r="M17" s="17" t="s">
        <v>22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2304662545</v>
      </c>
      <c r="C18" s="24" t="s">
        <v>276</v>
      </c>
      <c r="D18" s="22" t="s">
        <v>59</v>
      </c>
      <c r="E18" s="13" t="s">
        <v>1216</v>
      </c>
      <c r="F18" s="13">
        <v>4</v>
      </c>
      <c r="G18" s="13">
        <v>6</v>
      </c>
      <c r="H18" s="13"/>
      <c r="I18" s="16"/>
      <c r="J18" s="16">
        <v>6</v>
      </c>
      <c r="K18" s="16">
        <v>5</v>
      </c>
      <c r="L18" s="18">
        <f t="shared" si="0"/>
        <v>5.3</v>
      </c>
      <c r="M18" s="16" t="s">
        <v>460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2304662546</v>
      </c>
      <c r="C19" s="24" t="s">
        <v>49</v>
      </c>
      <c r="D19" s="22" t="s">
        <v>59</v>
      </c>
      <c r="E19" s="13" t="s">
        <v>945</v>
      </c>
      <c r="F19" s="13">
        <v>10</v>
      </c>
      <c r="G19" s="13">
        <v>8</v>
      </c>
      <c r="H19" s="13"/>
      <c r="I19" s="16"/>
      <c r="J19" s="16">
        <v>6</v>
      </c>
      <c r="K19" s="16">
        <v>5</v>
      </c>
      <c r="L19" s="18">
        <f t="shared" si="0"/>
        <v>6.4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2304662547</v>
      </c>
      <c r="C20" s="24" t="s">
        <v>374</v>
      </c>
      <c r="D20" s="22" t="s">
        <v>190</v>
      </c>
      <c r="E20" s="13" t="s">
        <v>828</v>
      </c>
      <c r="F20" s="13">
        <v>6</v>
      </c>
      <c r="G20" s="13">
        <v>9</v>
      </c>
      <c r="H20" s="13"/>
      <c r="I20" s="16"/>
      <c r="J20" s="16">
        <v>9</v>
      </c>
      <c r="K20" s="16">
        <v>7</v>
      </c>
      <c r="L20" s="18">
        <f t="shared" si="0"/>
        <v>7.7</v>
      </c>
      <c r="M20" s="16" t="s">
        <v>33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2303668969</v>
      </c>
      <c r="C21" s="24" t="s">
        <v>503</v>
      </c>
      <c r="D21" s="22" t="s">
        <v>1217</v>
      </c>
      <c r="E21" s="13" t="s">
        <v>1218</v>
      </c>
      <c r="F21" s="13">
        <v>4</v>
      </c>
      <c r="G21" s="13">
        <v>8.5</v>
      </c>
      <c r="H21" s="13"/>
      <c r="I21" s="16"/>
      <c r="J21" s="16">
        <v>6.5</v>
      </c>
      <c r="K21" s="16">
        <v>6</v>
      </c>
      <c r="L21" s="18">
        <f t="shared" si="0"/>
        <v>6.2</v>
      </c>
      <c r="M21" s="16" t="s">
        <v>460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2304662548</v>
      </c>
      <c r="C22" s="25" t="s">
        <v>1219</v>
      </c>
      <c r="D22" s="23" t="s">
        <v>1091</v>
      </c>
      <c r="E22" s="15" t="s">
        <v>1220</v>
      </c>
      <c r="F22" s="15">
        <v>4</v>
      </c>
      <c r="G22" s="15">
        <v>9.5</v>
      </c>
      <c r="H22" s="15"/>
      <c r="I22" s="17"/>
      <c r="J22" s="17">
        <v>7</v>
      </c>
      <c r="K22" s="17">
        <v>6.5</v>
      </c>
      <c r="L22" s="19">
        <f t="shared" si="0"/>
        <v>6.7</v>
      </c>
      <c r="M22" s="17" t="s">
        <v>460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2304662549</v>
      </c>
      <c r="C23" s="24" t="s">
        <v>1221</v>
      </c>
      <c r="D23" s="22" t="s">
        <v>305</v>
      </c>
      <c r="E23" s="13" t="s">
        <v>1222</v>
      </c>
      <c r="F23" s="13">
        <v>9</v>
      </c>
      <c r="G23" s="13">
        <v>8</v>
      </c>
      <c r="H23" s="13"/>
      <c r="I23" s="16"/>
      <c r="J23" s="16">
        <v>8</v>
      </c>
      <c r="K23" s="16">
        <v>5</v>
      </c>
      <c r="L23" s="18">
        <f t="shared" si="0"/>
        <v>6.9</v>
      </c>
      <c r="M23" s="16" t="s">
        <v>22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2304662550</v>
      </c>
      <c r="C24" s="24" t="s">
        <v>1223</v>
      </c>
      <c r="D24" s="22" t="s">
        <v>727</v>
      </c>
      <c r="E24" s="13" t="s">
        <v>1224</v>
      </c>
      <c r="F24" s="13">
        <v>10</v>
      </c>
      <c r="G24" s="13">
        <v>5.5</v>
      </c>
      <c r="H24" s="13"/>
      <c r="I24" s="16"/>
      <c r="J24" s="16">
        <v>7</v>
      </c>
      <c r="K24" s="16">
        <v>6</v>
      </c>
      <c r="L24" s="18">
        <f t="shared" si="0"/>
        <v>6.8</v>
      </c>
      <c r="M24" s="16" t="s">
        <v>22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2304662551</v>
      </c>
      <c r="C25" s="24" t="s">
        <v>1225</v>
      </c>
      <c r="D25" s="22" t="s">
        <v>727</v>
      </c>
      <c r="E25" s="13" t="s">
        <v>954</v>
      </c>
      <c r="F25" s="13">
        <v>6</v>
      </c>
      <c r="G25" s="13">
        <v>5</v>
      </c>
      <c r="H25" s="13"/>
      <c r="I25" s="16"/>
      <c r="J25" s="16">
        <v>6</v>
      </c>
      <c r="K25" s="16">
        <v>6</v>
      </c>
      <c r="L25" s="18">
        <f t="shared" si="0"/>
        <v>5.9</v>
      </c>
      <c r="M25" s="16" t="s">
        <v>33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2304662553</v>
      </c>
      <c r="C26" s="24" t="s">
        <v>452</v>
      </c>
      <c r="D26" s="22" t="s">
        <v>72</v>
      </c>
      <c r="E26" s="13" t="s">
        <v>837</v>
      </c>
      <c r="F26" s="13">
        <v>7</v>
      </c>
      <c r="G26" s="13">
        <v>9.5</v>
      </c>
      <c r="H26" s="13"/>
      <c r="I26" s="16"/>
      <c r="J26" s="16">
        <v>6</v>
      </c>
      <c r="K26" s="16">
        <v>6</v>
      </c>
      <c r="L26" s="18">
        <f t="shared" si="0"/>
        <v>6.6</v>
      </c>
      <c r="M26" s="16" t="s">
        <v>42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2304662554</v>
      </c>
      <c r="C27" s="25" t="s">
        <v>676</v>
      </c>
      <c r="D27" s="23" t="s">
        <v>72</v>
      </c>
      <c r="E27" s="15" t="s">
        <v>833</v>
      </c>
      <c r="F27" s="15">
        <v>9</v>
      </c>
      <c r="G27" s="15">
        <v>5</v>
      </c>
      <c r="H27" s="15"/>
      <c r="I27" s="17"/>
      <c r="J27" s="17">
        <v>6</v>
      </c>
      <c r="K27" s="17">
        <v>5</v>
      </c>
      <c r="L27" s="19">
        <f t="shared" si="0"/>
        <v>5.9</v>
      </c>
      <c r="M27" s="17" t="s">
        <v>22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2304662555</v>
      </c>
      <c r="C28" s="24" t="s">
        <v>418</v>
      </c>
      <c r="D28" s="22" t="s">
        <v>1226</v>
      </c>
      <c r="E28" s="13" t="s">
        <v>831</v>
      </c>
      <c r="F28" s="13">
        <v>5</v>
      </c>
      <c r="G28" s="13">
        <v>5</v>
      </c>
      <c r="H28" s="13"/>
      <c r="I28" s="16"/>
      <c r="J28" s="16">
        <v>5</v>
      </c>
      <c r="K28" s="16"/>
      <c r="L28" s="18">
        <f t="shared" si="0"/>
        <v>5</v>
      </c>
      <c r="M28" s="16" t="s">
        <v>274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2304662557</v>
      </c>
      <c r="C29" s="24" t="s">
        <v>1227</v>
      </c>
      <c r="D29" s="22" t="s">
        <v>1228</v>
      </c>
      <c r="E29" s="13" t="s">
        <v>1160</v>
      </c>
      <c r="F29" s="13">
        <v>10</v>
      </c>
      <c r="G29" s="13">
        <v>10</v>
      </c>
      <c r="H29" s="13"/>
      <c r="I29" s="16"/>
      <c r="J29" s="16">
        <v>6.5</v>
      </c>
      <c r="K29" s="16">
        <v>5</v>
      </c>
      <c r="L29" s="18">
        <f t="shared" si="0"/>
        <v>6.9</v>
      </c>
      <c r="M29" s="16" t="s">
        <v>22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2304663133</v>
      </c>
      <c r="C30" s="24" t="s">
        <v>1229</v>
      </c>
      <c r="D30" s="22" t="s">
        <v>896</v>
      </c>
      <c r="E30" s="13" t="s">
        <v>1230</v>
      </c>
      <c r="F30" s="13">
        <v>2</v>
      </c>
      <c r="G30" s="13">
        <v>5</v>
      </c>
      <c r="H30" s="13"/>
      <c r="I30" s="16"/>
      <c r="J30" s="16">
        <v>7.5</v>
      </c>
      <c r="K30" s="16">
        <v>6</v>
      </c>
      <c r="L30" s="18">
        <f t="shared" si="0"/>
        <v>5.7</v>
      </c>
      <c r="M30" s="16" t="s">
        <v>274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2304662561</v>
      </c>
      <c r="C31" s="24" t="s">
        <v>278</v>
      </c>
      <c r="D31" s="22" t="s">
        <v>896</v>
      </c>
      <c r="E31" s="13" t="s">
        <v>778</v>
      </c>
      <c r="F31" s="13">
        <v>8</v>
      </c>
      <c r="G31" s="13">
        <v>8</v>
      </c>
      <c r="H31" s="13"/>
      <c r="I31" s="16"/>
      <c r="J31" s="16">
        <v>6.5</v>
      </c>
      <c r="K31" s="16">
        <v>5</v>
      </c>
      <c r="L31" s="18">
        <f t="shared" si="0"/>
        <v>6.3</v>
      </c>
      <c r="M31" s="16" t="s">
        <v>22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2304662562</v>
      </c>
      <c r="C32" s="25" t="s">
        <v>1231</v>
      </c>
      <c r="D32" s="23" t="s">
        <v>98</v>
      </c>
      <c r="E32" s="15" t="s">
        <v>897</v>
      </c>
      <c r="F32" s="15">
        <v>9</v>
      </c>
      <c r="G32" s="15">
        <v>9.5</v>
      </c>
      <c r="H32" s="15"/>
      <c r="I32" s="17"/>
      <c r="J32" s="17">
        <v>9</v>
      </c>
      <c r="K32" s="17">
        <v>7</v>
      </c>
      <c r="L32" s="19">
        <f t="shared" si="0"/>
        <v>8.1999999999999993</v>
      </c>
      <c r="M32" s="17" t="s">
        <v>22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2304662564</v>
      </c>
      <c r="C33" s="24" t="s">
        <v>895</v>
      </c>
      <c r="D33" s="22" t="s">
        <v>214</v>
      </c>
      <c r="E33" s="13" t="s">
        <v>780</v>
      </c>
      <c r="F33" s="13">
        <v>5</v>
      </c>
      <c r="G33" s="13">
        <v>8.5</v>
      </c>
      <c r="H33" s="13"/>
      <c r="I33" s="16"/>
      <c r="J33" s="16">
        <v>7</v>
      </c>
      <c r="K33" s="16">
        <v>5</v>
      </c>
      <c r="L33" s="18">
        <f t="shared" si="0"/>
        <v>6.1</v>
      </c>
      <c r="M33" s="16" t="s">
        <v>274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2304662563</v>
      </c>
      <c r="C34" s="24" t="s">
        <v>1232</v>
      </c>
      <c r="D34" s="22" t="s">
        <v>1233</v>
      </c>
      <c r="E34" s="13" t="s">
        <v>1234</v>
      </c>
      <c r="F34" s="13">
        <v>9</v>
      </c>
      <c r="G34" s="13">
        <v>5</v>
      </c>
      <c r="H34" s="13"/>
      <c r="I34" s="16"/>
      <c r="J34" s="16">
        <v>10</v>
      </c>
      <c r="K34" s="16">
        <v>5</v>
      </c>
      <c r="L34" s="18">
        <f t="shared" si="0"/>
        <v>7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2304663137</v>
      </c>
      <c r="C35" s="24" t="s">
        <v>1235</v>
      </c>
      <c r="D35" s="22" t="s">
        <v>331</v>
      </c>
      <c r="E35" s="13" t="s">
        <v>819</v>
      </c>
      <c r="F35" s="13">
        <v>9</v>
      </c>
      <c r="G35" s="13">
        <v>5</v>
      </c>
      <c r="H35" s="13"/>
      <c r="I35" s="16"/>
      <c r="J35" s="16">
        <v>6</v>
      </c>
      <c r="K35" s="16">
        <v>5</v>
      </c>
      <c r="L35" s="18">
        <f t="shared" si="0"/>
        <v>5.9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2304663141</v>
      </c>
      <c r="C36" s="24" t="s">
        <v>1236</v>
      </c>
      <c r="D36" s="22" t="s">
        <v>227</v>
      </c>
      <c r="E36" s="13" t="s">
        <v>632</v>
      </c>
      <c r="F36" s="13">
        <v>5</v>
      </c>
      <c r="G36" s="13">
        <v>5</v>
      </c>
      <c r="H36" s="13"/>
      <c r="I36" s="16"/>
      <c r="J36" s="16">
        <v>10</v>
      </c>
      <c r="K36" s="16">
        <v>6.5</v>
      </c>
      <c r="L36" s="18">
        <f t="shared" si="0"/>
        <v>7.1</v>
      </c>
      <c r="M36" s="16" t="s">
        <v>274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2304662566</v>
      </c>
      <c r="C37" s="25" t="s">
        <v>1237</v>
      </c>
      <c r="D37" s="23" t="s">
        <v>1238</v>
      </c>
      <c r="E37" s="15" t="s">
        <v>971</v>
      </c>
      <c r="F37" s="15">
        <v>4</v>
      </c>
      <c r="G37" s="15">
        <v>9.5</v>
      </c>
      <c r="H37" s="15"/>
      <c r="I37" s="17"/>
      <c r="J37" s="17">
        <v>6</v>
      </c>
      <c r="K37" s="17">
        <v>6</v>
      </c>
      <c r="L37" s="19">
        <f t="shared" si="0"/>
        <v>6.2</v>
      </c>
      <c r="M37" s="17" t="s">
        <v>460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2306004123</v>
      </c>
      <c r="C38" s="24" t="s">
        <v>1239</v>
      </c>
      <c r="D38" s="22" t="s">
        <v>122</v>
      </c>
      <c r="E38" s="13" t="s">
        <v>1240</v>
      </c>
      <c r="F38" s="13">
        <v>7</v>
      </c>
      <c r="G38" s="13">
        <v>9</v>
      </c>
      <c r="H38" s="13"/>
      <c r="I38" s="16"/>
      <c r="J38" s="16">
        <v>8</v>
      </c>
      <c r="K38" s="16">
        <v>8.5</v>
      </c>
      <c r="L38" s="18">
        <f t="shared" si="0"/>
        <v>8.1999999999999993</v>
      </c>
      <c r="M38" s="16" t="s">
        <v>42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2304662568</v>
      </c>
      <c r="C39" s="24" t="s">
        <v>1241</v>
      </c>
      <c r="D39" s="22" t="s">
        <v>236</v>
      </c>
      <c r="E39" s="13" t="s">
        <v>1242</v>
      </c>
      <c r="F39" s="13">
        <v>5</v>
      </c>
      <c r="G39" s="13">
        <v>8</v>
      </c>
      <c r="H39" s="13"/>
      <c r="I39" s="16"/>
      <c r="J39" s="16">
        <v>5</v>
      </c>
      <c r="K39" s="16">
        <v>5</v>
      </c>
      <c r="L39" s="18">
        <f t="shared" si="0"/>
        <v>5.4</v>
      </c>
      <c r="M39" s="16" t="s">
        <v>33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2304662567</v>
      </c>
      <c r="C40" s="24" t="s">
        <v>1087</v>
      </c>
      <c r="D40" s="22" t="s">
        <v>1243</v>
      </c>
      <c r="E40" s="13" t="s">
        <v>1060</v>
      </c>
      <c r="F40" s="13">
        <v>6</v>
      </c>
      <c r="G40" s="13">
        <v>5</v>
      </c>
      <c r="H40" s="13"/>
      <c r="I40" s="16"/>
      <c r="J40" s="16">
        <v>10</v>
      </c>
      <c r="K40" s="16">
        <v>5</v>
      </c>
      <c r="L40" s="18">
        <f t="shared" si="0"/>
        <v>6.6</v>
      </c>
      <c r="M40" s="16" t="s">
        <v>33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2304662569</v>
      </c>
      <c r="C41" s="24" t="s">
        <v>743</v>
      </c>
      <c r="D41" s="22" t="s">
        <v>597</v>
      </c>
      <c r="E41" s="13" t="s">
        <v>1199</v>
      </c>
      <c r="F41" s="13">
        <v>5</v>
      </c>
      <c r="G41" s="13">
        <v>9</v>
      </c>
      <c r="H41" s="13"/>
      <c r="I41" s="16"/>
      <c r="J41" s="16">
        <v>6</v>
      </c>
      <c r="K41" s="16">
        <v>5</v>
      </c>
      <c r="L41" s="18">
        <f t="shared" si="0"/>
        <v>5.9</v>
      </c>
      <c r="M41" s="16" t="s">
        <v>274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2304662570</v>
      </c>
      <c r="C42" s="25" t="s">
        <v>1244</v>
      </c>
      <c r="D42" s="23" t="s">
        <v>1245</v>
      </c>
      <c r="E42" s="15" t="s">
        <v>1246</v>
      </c>
      <c r="F42" s="15">
        <v>5</v>
      </c>
      <c r="G42" s="15">
        <v>5</v>
      </c>
      <c r="H42" s="15"/>
      <c r="I42" s="17"/>
      <c r="J42" s="17">
        <v>5</v>
      </c>
      <c r="K42" s="17">
        <v>5</v>
      </c>
      <c r="L42" s="19">
        <f t="shared" si="0"/>
        <v>5</v>
      </c>
      <c r="M42" s="17" t="s">
        <v>274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2304662573</v>
      </c>
      <c r="C43" s="24" t="s">
        <v>741</v>
      </c>
      <c r="D43" s="22" t="s">
        <v>136</v>
      </c>
      <c r="E43" s="13" t="s">
        <v>1247</v>
      </c>
      <c r="F43" s="13">
        <v>5</v>
      </c>
      <c r="G43" s="13">
        <v>8.5</v>
      </c>
      <c r="H43" s="13"/>
      <c r="I43" s="16"/>
      <c r="J43" s="16">
        <v>6.5</v>
      </c>
      <c r="K43" s="16">
        <v>7</v>
      </c>
      <c r="L43" s="18">
        <f t="shared" si="0"/>
        <v>6.8</v>
      </c>
      <c r="M43" s="16" t="s">
        <v>460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2304663155</v>
      </c>
      <c r="C44" s="24" t="s">
        <v>1248</v>
      </c>
      <c r="D44" s="22" t="s">
        <v>139</v>
      </c>
      <c r="E44" s="13" t="s">
        <v>789</v>
      </c>
      <c r="F44" s="13">
        <v>5</v>
      </c>
      <c r="G44" s="13">
        <v>5</v>
      </c>
      <c r="H44" s="13"/>
      <c r="I44" s="16"/>
      <c r="J44" s="16">
        <v>7.5</v>
      </c>
      <c r="K44" s="16">
        <v>5</v>
      </c>
      <c r="L44" s="18">
        <f t="shared" si="0"/>
        <v>5.7</v>
      </c>
      <c r="M44" s="16" t="s">
        <v>274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1">
        <v>38</v>
      </c>
      <c r="B45" s="15">
        <v>2304662574</v>
      </c>
      <c r="C45" s="25" t="s">
        <v>1249</v>
      </c>
      <c r="D45" s="23" t="s">
        <v>1250</v>
      </c>
      <c r="E45" s="15" t="s">
        <v>1251</v>
      </c>
      <c r="F45" s="15">
        <v>8</v>
      </c>
      <c r="G45" s="15">
        <v>7</v>
      </c>
      <c r="H45" s="15"/>
      <c r="I45" s="17"/>
      <c r="J45" s="17">
        <v>7</v>
      </c>
      <c r="K45" s="17">
        <v>9</v>
      </c>
      <c r="L45" s="19">
        <f t="shared" si="0"/>
        <v>8</v>
      </c>
      <c r="M45" s="17" t="s">
        <v>22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39" t="s">
        <v>141</v>
      </c>
      <c r="B46" s="40"/>
      <c r="C46" s="41"/>
      <c r="D46" s="41"/>
      <c r="E46" s="41"/>
      <c r="F46" s="40"/>
      <c r="G46" s="40"/>
      <c r="H46" s="40"/>
      <c r="I46" s="40"/>
      <c r="J46" s="42"/>
      <c r="K46" s="8"/>
      <c r="L46" s="9"/>
      <c r="M46" s="10"/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43"/>
      <c r="B47" s="33"/>
      <c r="C47" s="44"/>
      <c r="D47" s="45"/>
      <c r="E47" s="45"/>
      <c r="F47" s="46"/>
      <c r="G47" s="46"/>
      <c r="H47" s="46"/>
      <c r="I47" s="46"/>
      <c r="J47" s="47"/>
    </row>
    <row r="48" spans="1:37" ht="12.75" customHeight="1" x14ac:dyDescent="0.35">
      <c r="A48" s="48" t="s">
        <v>142</v>
      </c>
      <c r="B48" s="33"/>
      <c r="C48" s="44"/>
      <c r="D48" s="45" t="s">
        <v>143</v>
      </c>
      <c r="E48" s="45"/>
      <c r="F48" s="46" t="str">
        <f>TEXT(COUNTIF(L8:L45,"&gt;="&amp;Q48),"#0")</f>
        <v>7</v>
      </c>
      <c r="G48" s="46"/>
      <c r="H48" s="31" t="s">
        <v>144</v>
      </c>
      <c r="I48" s="46" t="str">
        <f>ROUND(F48/IF(COUNTIF(L8:L45,"&gt;=0")=0,1,COUNTIF(L8:L45,"&gt;=0")),4)*100&amp;"%"</f>
        <v>18.42%</v>
      </c>
      <c r="J48" s="47"/>
      <c r="Q48" s="26">
        <v>7.95</v>
      </c>
    </row>
    <row r="49" spans="1:17" ht="12.75" customHeight="1" x14ac:dyDescent="0.35">
      <c r="A49" s="43" t="s">
        <v>145</v>
      </c>
      <c r="B49" s="33"/>
      <c r="C49" s="44"/>
      <c r="D49" s="45" t="s">
        <v>146</v>
      </c>
      <c r="E49" s="45"/>
      <c r="F49" s="46" t="str">
        <f>TEXT(COUNTIF(L8:L45,"&gt;="&amp;Q49)-F48,"#0")</f>
        <v>12</v>
      </c>
      <c r="G49" s="46"/>
      <c r="H49" s="31" t="s">
        <v>144</v>
      </c>
      <c r="I49" s="46" t="str">
        <f>ROUND(F49/IF(COUNTIF(L8:L45,"&gt;=0")=0,1,COUNTIF(L8:L45,"&gt;=0")),4)*100&amp;"%"</f>
        <v>31.58%</v>
      </c>
      <c r="J49" s="47"/>
      <c r="Q49" s="26">
        <v>6.45</v>
      </c>
    </row>
    <row r="50" spans="1:17" ht="12.75" customHeight="1" x14ac:dyDescent="0.35">
      <c r="A50" s="27"/>
      <c r="D50" s="45" t="s">
        <v>147</v>
      </c>
      <c r="E50" s="45"/>
      <c r="F50" s="46" t="str">
        <f>TEXT(COUNTIF(L8:L45,"&gt;="&amp;Q50)-F49-F48,"#0")</f>
        <v>18</v>
      </c>
      <c r="G50" s="46"/>
      <c r="H50" s="31" t="s">
        <v>144</v>
      </c>
      <c r="I50" s="46" t="str">
        <f>ROUND(F50/IF(COUNTIF(L8:L45,"&gt;=0")=0,1,COUNTIF(L8:L45,"&gt;=0")),4)*100&amp;"%"</f>
        <v>47.37%</v>
      </c>
      <c r="J50" s="47"/>
      <c r="Q50" s="26">
        <v>4.95</v>
      </c>
    </row>
    <row r="51" spans="1:17" ht="12.75" customHeight="1" x14ac:dyDescent="0.35">
      <c r="A51" s="28"/>
      <c r="B51" s="29"/>
      <c r="C51" s="30"/>
      <c r="D51" s="49" t="s">
        <v>148</v>
      </c>
      <c r="E51" s="49"/>
      <c r="F51" s="50" t="str">
        <f>TEXT(COUNTIF(L8:L45,"&gt;=0")-F47-F48-F49-F50,"#0")</f>
        <v>1</v>
      </c>
      <c r="G51" s="50"/>
      <c r="H51" s="32" t="s">
        <v>144</v>
      </c>
      <c r="I51" s="50" t="str">
        <f>ROUND(F51/IF(COUNTIF(L8:L45,"&gt;=0")=0,1,COUNTIF(L8:L45,"&gt;=0")),4)*100&amp;"%"</f>
        <v>2.63%</v>
      </c>
      <c r="J51" s="51"/>
    </row>
    <row r="65536" ht="14.5" x14ac:dyDescent="0.35"/>
  </sheetData>
  <mergeCells count="32">
    <mergeCell ref="D50:E50"/>
    <mergeCell ref="F50:G50"/>
    <mergeCell ref="I50:J50"/>
    <mergeCell ref="D51:E51"/>
    <mergeCell ref="F51:G51"/>
    <mergeCell ref="I51:J51"/>
    <mergeCell ref="A46:J47"/>
    <mergeCell ref="A48:C48"/>
    <mergeCell ref="D48:E48"/>
    <mergeCell ref="F48:G48"/>
    <mergeCell ref="I48:J48"/>
    <mergeCell ref="A49:C49"/>
    <mergeCell ref="D49:E49"/>
    <mergeCell ref="F49:G49"/>
    <mergeCell ref="I49:J49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30">
    <dataValidation type="list" allowBlank="1" showInputMessage="1" showErrorMessage="1" errorTitle="Thông báo" error="Bạn phải nhập [Đạt] = d, Đ, đ, 1   [Chưa đạt] = c, CĐ, cđ, 2" sqref="C5" xr:uid="{C6F36A5D-84BD-402D-A546-20CE7281BEA9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C645156B-AC4C-4BDE-8087-94193770DA5C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57F43104-9609-4ED6-8606-C0242C39C169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D75F76D4-98CF-4836-872D-5966B88005CB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93D54EF0-7A3A-4CE7-BCBC-3C898F001719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63AC0FAD-41F8-46B4-BB5A-ACCDD2808082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C4A6CD16-0C72-4D5B-A60A-96A368473414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77685DF9-2953-45F7-9990-CD6DC6FBB9C5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5D6DA4CC-C756-4AA3-AE3A-7FD283832A05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9B73EEC7-0481-4A11-843A-C9B8304B1077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DA5F5048-C0C9-404E-925F-F22F294D35B7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A34727B7-FF14-4166-94E2-BA1EB3D59196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DEA035F6-8B90-4855-B1E7-AF5E3053D174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8620C7E8-A7D9-413D-8535-681789EF3732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70C9D243-B995-4B92-83E1-D812B4B711CB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ACF45459-73D0-4603-8A48-B90A87ED5FC9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444F7D21-4BA3-454E-981F-D8FA832880B0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17528382-C9E7-4A50-A87C-905DF0626EB3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064FD0C0-ACF5-4D61-ACAD-C048F9BFB541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9187E131-70E4-48F0-BFB0-797B42C171D0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1CABE34A-E6AC-4978-9789-CC024B926C82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E72FD984-A69C-4B5B-BD26-23D32D9A6F01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B0EAE5B8-D78B-4928-B1FB-D389B7500F7C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BF35367F-F971-434B-A50F-398758F48AB9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9CEBC42C-D8A0-4626-9704-06962F74F658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F67452F0-1EEF-48DA-A38C-1D5A9F38E318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A2684A11-E4F3-424C-8715-72ADBA82E1D6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CF7DEA6A-95E3-4918-B143-72C4DCC420BD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D629DEFA-A8A0-40E7-B26C-D262E08AADE2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A03E7AA4-919C-4EE5-9FD5-77EA910E2BC6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4D1209EF-D6F9-4101-976A-BB86FE2B8E8E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03B5E769-9E88-4009-9989-D733C27E7687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2A4FD0D1-3B56-4381-B119-E403F31D0DE8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C7D6F981-C74C-41BC-A8B4-D02012D45334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898FCE94-C839-49A7-9751-1894A49489E5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E6B2EF41-F87C-487B-BF90-A4D372F7344A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5857B0AB-12DD-4B24-8FD6-81A841105AAF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0FA22568-D0A2-4C63-A6F1-2D8F2D39D2F1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891FA449-4796-48C4-A47A-7A8890CC803D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75477F77-9C27-416E-90C9-CE40298727A1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CF2FA9CA-48BA-4DBA-A694-DF605E9BAEF7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6ACD3DAD-FBDA-4256-B96F-12C40CDA546B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63A9B99E-1D8D-4150-8E85-D02D5C8F636E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C195E44F-6BDE-434A-8A58-DAEDC737E996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353E7289-38EF-4026-8F3C-5F09E638391D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F563EF39-D5C8-4207-BB47-0D025FE26E74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8C640EB9-83B6-42FC-A3DE-74E5941BD856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13D72DE2-146E-4C83-85CC-BCD6E208ED23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E680620C-4429-40D9-8688-A16C41D8AA9F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082BBD09-9E7D-45F0-89B1-B85B8453ABA2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AEF279C4-1B12-41FD-9280-9EF2DD09AD63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6BBE8BE3-5D49-4F0A-BF48-B9594BABD9D3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8C519846-426E-4AE5-AFC0-789D48D4FB02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D1239D72-01C0-4248-B1A9-3431972FEC7D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F4323693-7373-44BC-9489-49C0519CC3B2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3851ABD3-A803-4E58-85E3-AD227A734457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C728C7B8-74D5-48F7-B874-A826A2E40896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942A0A87-D6E6-4966-9878-B1C05DCFD228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D02E56D4-7142-4853-8F7C-C2214E50E908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6FFD6FE5-CB23-44F5-AD22-A88DE1DE1DF5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0516049F-FD7F-4EFB-8F75-4B444CFB9004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0FA86FC2-0181-4095-8103-5CE6DB19DB8D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D49005DF-9FDD-4934-966C-FDAB37974A7C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BFAAD1CC-9039-4647-9E79-8DEF64CB5B15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370C8BA5-BC07-4C05-9005-BA613770C4A1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47DC63F6-865F-4396-BB8E-537AFBD59A44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78DF703B-D1B6-4203-81EF-291B6B74D997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4A64593C-D670-48FE-BCEE-24C36EAB1C19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860E7482-4576-4215-9771-8930B316B5FB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B25BACFA-887E-4E4A-9F50-B61CC4203D4A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D87AE74A-01E4-4A72-B128-62218E0BBBD8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271E3213-B8AC-4589-A15C-11F0EF195402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2B0ACDFC-1D8D-4692-92E0-E24FB4807D18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36068ACC-71FD-4D85-A83F-666C2DDEFAFA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95527911-5702-4DFA-B191-45426FB69D87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BAA58C28-02E8-4DB2-966E-D6051A12AAAB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76E00AB5-FFA3-494B-BC67-CBEC92174A41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A9A9C948-2560-45B1-9780-09DBD6BE893E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9222BBBF-2E2D-42D7-9223-DC01DC621ABD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4A8072AF-12A2-47CC-9E99-8B048E42FCE3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B1EDF4EC-F78F-4973-AE61-F8548C949C54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36FFDDCF-D9BC-46ED-9F23-BB327FD5C5D6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2ECEF6A6-887F-4600-BA5C-9D88FFD1137E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FA183E66-27E1-45B8-B70A-56FE0DA50ACF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9F011682-46E0-4ADD-BFDC-54C9082C749F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A6E42409-C6A8-426B-8A04-4ACD987A3392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66A328AF-F236-45E6-A531-376FB945C23E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13E044D0-A636-45A4-8500-0E182B4B9DCF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39A47871-DF88-4C74-B0DD-B46368AEBD69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43D14417-D4E6-4FDE-9AA1-43DD4CFC921B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30F50B34-9D33-4C9B-9FD1-1D581621A04E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EEC58299-4B87-4FC9-829D-7C92BC312232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70EE8B3B-495D-47E8-9DB0-8700D97D5109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EDCDCC72-488A-42F9-9C63-26F349AB9E11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1259D663-57FA-41F0-BDD8-8517C0E1AFCE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5F24D78E-C8FD-46A2-B88E-5BAEE854B562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BABB5358-BB87-4985-8494-1061514A5F12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E5ADC787-BB3F-4443-85B3-C1F218A3CD3B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A3889F96-7551-4C95-B632-582E8AD22876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40BA5224-768B-4BE3-A314-61031FE2F675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FFD920C7-0F93-4F43-B7FE-18DC31D038FE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B4412E03-DF43-443C-B637-BD6ED947A645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B689B65D-F8D5-4A89-A2D7-7037821D2D28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4B988F5D-E545-47F3-AAF4-C58BB047C5D7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5F6C9DDA-C212-4454-92BC-8248B055A923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286C958F-085F-4986-8739-8786226B5189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9296BF52-0225-49FF-B597-C0D18E074AAE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220622C0-B422-49A4-8869-0CD4E30D235D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B4DE474F-6D87-4534-B5C9-FF1C1DAB3139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4A46964B-4AA6-4779-97F4-8A623F00D6B7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8FCA1D52-9A05-4C73-BF6B-421CA7EDDEA4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F0F99CCF-E1DB-48AA-A2F4-6CBD6ECB058A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1F014FFC-05E0-465E-A954-7D749AE4B37E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E612B5B5-99AD-452F-950B-18DC7FB91229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E7727E3F-3EFF-4AE2-81A9-B14F10A48C66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82B67DE7-A6B9-4DE1-8B93-7ADCC2BF0FA7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2701D1CF-2212-4951-8888-CFE1A4B405F6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AE436A72-48DF-496E-8137-C37AA273A7F2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E3AAE090-4218-4CAA-A6A7-6687E1E0FA9C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7BEDDB71-72F8-4494-A0CC-6EE0A50BFFCB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8EA8BE14-38E0-4C3A-89CE-B367ECA1BB48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BEC0764B-0904-4E70-A61B-A67C485F4C18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2DFD1888-1D38-4544-8EE8-47A0FFA8C5BE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C42E1DA5-F521-4B63-8E4D-5B0D5EC2D2CF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96752BA0-797E-40E1-8F79-5203D5C2453D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FE4E6A81-AF7E-41AD-ADF2-9FAECC2209BA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2C40D476-86EC-4878-A9DB-676EFA2FC009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6BFF3C47-5AEC-4705-9A78-9DEDA80BC2F4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6C30427A-5F36-4967-900E-87AF2910F882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912A682D-87B8-4CF9-B8F3-668FDC74C581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E1892479-6AB0-4EF1-9E66-E7241DA454B9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EE1ED9B2-08A6-4942-BA10-9B5933CCD04A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655A80D5-658B-4D4B-B062-783966A939C5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7FC7D672-6489-4668-AA53-ECEB89085838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9338E3A1-2241-42DF-9036-9731771497DB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B8D58C0F-4FFF-4E98-9A4A-8ADCD84105ED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B22B6358-F30C-4F64-85D8-8283ED22BE9C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DFE4F47B-3991-4F5E-A239-4CA207D90160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DAC540B5-4FF0-415F-BEDB-68099B074D95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D1E1A2FD-D96F-4B88-9C36-C007FC38BC7D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50ED4183-7398-45C7-9A94-EF5CF0C86756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0EA0CBA0-C4F9-4864-9F9C-4E4CD0B8068E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7C618A60-B19D-4532-80BE-09CC731B8EA7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66BAC422-BE3B-455C-9FBC-4BDA2830E2EF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D5D7D61B-7F3C-406B-935D-10713C0E90D7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06BBD9E5-6CA3-416C-8742-AFB6DA9963C4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A52F97C0-95E7-4A88-982A-4A5CC6F42D38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A1A48D90-6A59-494A-BACB-0EE1BC34F4F5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FF262E58-C2FC-4426-B4F6-35096D52523F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2B930579-A05A-4021-8FF9-17EFCE3E733D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E9D09E83-89A2-4247-AF3A-F0210474BBD4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DB30157E-9D3E-4267-9110-6EC1DD457C70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A9354EB4-36B6-4CBB-A4F2-83A8246FB290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A7F27F76-FAC7-49F1-915F-2CBD5E130C45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F0E16C81-AF5A-44BC-8508-3E7E80D80EB5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4A329E0C-CCF0-4FC6-9934-0E2327DAD276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9793C566-F0A1-4713-946D-CDF4B9A806DD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1007366A-D8EC-4D83-95B7-B7250A402794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49F9CE3B-7692-444B-9A87-8095458A0474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BBBF5FA7-5CD3-4A42-9B1D-678EE60D7E5A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75BD5B36-161F-477D-ADB9-78BD179B1EBF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2B9A55D2-4C76-4FA1-8AC3-23EE4476FF11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BEA52005-435F-4A0F-82CC-0A3512DCF008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EB3374F0-1D72-4E10-8357-12A01B797B41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BA24C040-FA2E-4546-9FCA-1B5B6C9D917D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5E79196F-8C90-4028-A609-262C7EFEECE7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928207A4-036C-49A7-96C9-38EA3A6B7741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30F12A95-7136-4F63-8E9F-5C7D5DEA8794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208960A2-0411-4720-A725-23E6AC07FA87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A26930EA-2DC3-421A-88F4-4B619FC24D95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D3C77A11-1FE8-440B-8331-570FEE699E9C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353ECC9D-3895-43D6-B88D-65BB5CE475FA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D956B496-67BE-44D4-A25C-F9211AF3F388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845BAC4E-C375-4FFE-8CDF-172EBCE38256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9382EE10-F967-4CEE-9F90-6DA614C34E14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60D56AC2-87A4-4EE0-8C3F-50946492031F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8F1E2434-440E-41E0-AC46-396F047F073A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F0F2BFDF-9BED-4324-A56E-EE26B87CC4F9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D37BC952-24AA-475D-80CE-53ADE5763C64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3460FB9E-24CE-441D-AFFC-73E41FFE1063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4A1B399A-34CD-4E85-B590-23EE9A90BDE4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12A55992-48BA-479D-A3B3-61AE22789DE3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5071EE83-B4B9-4C95-AF54-DB1325583B4A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4F223205-6429-475C-B476-B17FA071C00C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CF7B5D27-95AA-4C24-B159-9AEEA6633AFE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DCD88D74-ED0A-4FD3-B73C-B30AA0DDC687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33CBD15F-8E72-4B85-BEAE-6E17AD202FEF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9153F0D6-7ABD-4308-B60E-D9D0E3C71EC0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FED4F187-A794-4411-BDC0-155210AF48B5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0700CB09-9AB8-4FA0-B360-CA6ADF355F40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1238B968-8F7A-4983-9B19-0918764F75C2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D0BDB836-9174-4BB7-92D4-89A63C27D3BE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5B7278DD-D460-47A5-A22D-5484B268BAD8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D0D056F1-0ABB-4A2C-9051-D255803AE83B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EC78310E-B293-4A02-8226-7ADF59E1FA82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81A96FD3-8F8A-453A-9F71-0ADDB05E50E7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CFF7CC2F-2CFE-4FF6-ACB4-772152DF017B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FAD97F5A-AB27-4C2D-886D-DBB4D5994C97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D9C660E3-715F-499F-9700-9E8906A7D081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D5F2C414-1A40-43C7-ABA9-BDDF27BBE6D8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DA6B6F53-2812-4EFD-9617-B728926A741A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01945B96-C23E-4FFC-9156-5763F9F54C64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D3F8B10A-F9F2-447A-8D2A-75CF4DFA75B6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60EA7EA3-0D36-4EC5-8AA5-1C4E0B8E66B0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A5B5F794-7AAD-4250-AF97-1B85764F03CC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DF032D49-2D2E-4E07-AD40-E7EA5046BFE2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A2F5BDE5-9542-49D9-8EBA-4FD09170F090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CC594C0D-5BD2-4291-AA53-DF430AD19DF0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631B6419-2165-40C2-9A95-7ABAC89EC6BA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A6C8342E-2AED-49D7-966D-0C5B8EEF2FDD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43BA021D-9FA0-499D-8AF7-DD923DC68831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3282C575-2D8F-4ADC-AEC7-C74CEDA492E8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35650D09-9A2D-41D0-8FC5-36351EA7967F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0106EB83-0B25-4AB5-B973-370F726DD9DD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267399EE-EF8C-4CC2-88B2-881498607B8E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F377D2E9-C673-427C-AB5E-B62350266523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A6832AD2-CCE1-439C-8EE9-D0BCD4EE92E6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0C3381DA-2419-47EE-8B78-D8831D6AC7CB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7E8DE5B3-8E7C-4968-AEA5-24E2E4E28828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47CBA078-EAEB-4D49-9A7D-04D341B945A1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1CB852A8-65EC-46CD-AA40-AFD2C6D788EF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C56B56D7-FE2E-4291-821B-70B12FB523D8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8D167B5F-4A25-4906-9ECF-D5A840233C64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3ECB5C3A-F3D0-4D2E-9430-B879D8B2E0CC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4B496B25-0A9C-44BE-A7CA-4584C6834E6A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9CF8822F-C779-4A4F-A959-8DADD00D7829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CEDC33AE-E9C2-49BF-95F1-643B710E176A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FCB87DFC-0C6E-4350-853C-787FAA192690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AF831096-4C2F-4104-A94E-86F2BB1DD30D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5981B57A-7BDE-48AA-9235-20A8B55D0F97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69FB-2B61-41C1-8D28-93819378BBAD}">
  <dimension ref="A1:AK65536"/>
  <sheetViews>
    <sheetView showRuler="0" zoomScaleNormal="100" workbookViewId="0">
      <selection activeCell="D49" sqref="D49:J53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1252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2304652272</v>
      </c>
      <c r="C8" s="24" t="s">
        <v>1115</v>
      </c>
      <c r="D8" s="22" t="s">
        <v>20</v>
      </c>
      <c r="E8" s="13" t="s">
        <v>1253</v>
      </c>
      <c r="F8" s="13">
        <v>5</v>
      </c>
      <c r="G8" s="13">
        <v>7</v>
      </c>
      <c r="H8" s="13"/>
      <c r="I8" s="16"/>
      <c r="J8" s="16">
        <v>6.5</v>
      </c>
      <c r="K8" s="16">
        <v>6.5</v>
      </c>
      <c r="L8" s="18">
        <f t="shared" ref="L8:L47" si="0">IF((COUNT(F8:I8)+COUNT(J8:J8)*2+COUNT(K8:K8)*3),ROUND((SUM(F8:I8)+SUM(J8:J8)*2+SUM(K8:K8)*3)/(COUNT(F8:I8)+COUNT(J8:J8)*2+COUNT(K8:K8)*3),1),"")</f>
        <v>6.4</v>
      </c>
      <c r="M8" s="16" t="s">
        <v>33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2304652273</v>
      </c>
      <c r="C9" s="24" t="s">
        <v>1254</v>
      </c>
      <c r="D9" s="22" t="s">
        <v>270</v>
      </c>
      <c r="E9" s="13" t="s">
        <v>886</v>
      </c>
      <c r="F9" s="13">
        <v>6</v>
      </c>
      <c r="G9" s="13">
        <v>10</v>
      </c>
      <c r="H9" s="13"/>
      <c r="I9" s="16"/>
      <c r="J9" s="16">
        <v>8.5</v>
      </c>
      <c r="K9" s="16">
        <v>7</v>
      </c>
      <c r="L9" s="18">
        <f t="shared" si="0"/>
        <v>7.7</v>
      </c>
      <c r="M9" s="16" t="s">
        <v>33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2304652274</v>
      </c>
      <c r="C10" s="24" t="s">
        <v>1255</v>
      </c>
      <c r="D10" s="22" t="s">
        <v>270</v>
      </c>
      <c r="E10" s="13" t="s">
        <v>1109</v>
      </c>
      <c r="F10" s="13">
        <v>9</v>
      </c>
      <c r="G10" s="13">
        <v>8.5</v>
      </c>
      <c r="H10" s="13"/>
      <c r="I10" s="16"/>
      <c r="J10" s="16">
        <v>6</v>
      </c>
      <c r="K10" s="16">
        <v>6.5</v>
      </c>
      <c r="L10" s="18">
        <f t="shared" si="0"/>
        <v>7</v>
      </c>
      <c r="M10" s="16" t="s">
        <v>22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2508517207</v>
      </c>
      <c r="C11" s="24" t="s">
        <v>1256</v>
      </c>
      <c r="D11" s="22" t="s">
        <v>157</v>
      </c>
      <c r="E11" s="13" t="s">
        <v>1257</v>
      </c>
      <c r="F11" s="13">
        <v>10</v>
      </c>
      <c r="G11" s="13">
        <v>10</v>
      </c>
      <c r="H11" s="13"/>
      <c r="I11" s="16"/>
      <c r="J11" s="16">
        <v>10</v>
      </c>
      <c r="K11" s="16">
        <v>8.5</v>
      </c>
      <c r="L11" s="18">
        <f t="shared" si="0"/>
        <v>9.4</v>
      </c>
      <c r="M11" s="16" t="s">
        <v>22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2304652277</v>
      </c>
      <c r="C12" s="25" t="s">
        <v>1013</v>
      </c>
      <c r="D12" s="23" t="s">
        <v>157</v>
      </c>
      <c r="E12" s="15" t="s">
        <v>1258</v>
      </c>
      <c r="F12" s="15">
        <v>8</v>
      </c>
      <c r="G12" s="15">
        <v>10</v>
      </c>
      <c r="H12" s="15"/>
      <c r="I12" s="17"/>
      <c r="J12" s="17">
        <v>9.5</v>
      </c>
      <c r="K12" s="17">
        <v>6</v>
      </c>
      <c r="L12" s="19">
        <f t="shared" si="0"/>
        <v>7.9</v>
      </c>
      <c r="M12" s="17" t="s">
        <v>22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2508518707</v>
      </c>
      <c r="C13" s="24" t="s">
        <v>1259</v>
      </c>
      <c r="D13" s="22" t="s">
        <v>40</v>
      </c>
      <c r="E13" s="13" t="s">
        <v>1260</v>
      </c>
      <c r="F13" s="13">
        <v>5</v>
      </c>
      <c r="G13" s="13">
        <v>5</v>
      </c>
      <c r="H13" s="13"/>
      <c r="I13" s="16"/>
      <c r="J13" s="16">
        <v>7.5</v>
      </c>
      <c r="K13" s="16">
        <v>6.5</v>
      </c>
      <c r="L13" s="18">
        <f t="shared" si="0"/>
        <v>6.4</v>
      </c>
      <c r="M13" s="16" t="s">
        <v>274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2304652279</v>
      </c>
      <c r="C14" s="24" t="s">
        <v>1181</v>
      </c>
      <c r="D14" s="22" t="s">
        <v>171</v>
      </c>
      <c r="E14" s="13" t="s">
        <v>399</v>
      </c>
      <c r="F14" s="13">
        <v>5</v>
      </c>
      <c r="G14" s="13">
        <v>0</v>
      </c>
      <c r="H14" s="13"/>
      <c r="I14" s="16"/>
      <c r="J14" s="16">
        <v>0</v>
      </c>
      <c r="K14" s="16">
        <v>6</v>
      </c>
      <c r="L14" s="18">
        <f t="shared" si="0"/>
        <v>3.3</v>
      </c>
      <c r="M14" s="16" t="s">
        <v>274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2304652281</v>
      </c>
      <c r="C15" s="24" t="s">
        <v>1261</v>
      </c>
      <c r="D15" s="22" t="s">
        <v>1204</v>
      </c>
      <c r="E15" s="13" t="s">
        <v>632</v>
      </c>
      <c r="F15" s="13">
        <v>8</v>
      </c>
      <c r="G15" s="13">
        <v>7</v>
      </c>
      <c r="H15" s="13"/>
      <c r="I15" s="16"/>
      <c r="J15" s="16">
        <v>10</v>
      </c>
      <c r="K15" s="16">
        <v>6</v>
      </c>
      <c r="L15" s="18">
        <f t="shared" si="0"/>
        <v>7.6</v>
      </c>
      <c r="M15" s="16" t="s">
        <v>22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2304652282</v>
      </c>
      <c r="C16" s="24" t="s">
        <v>1262</v>
      </c>
      <c r="D16" s="22" t="s">
        <v>1140</v>
      </c>
      <c r="E16" s="13" t="s">
        <v>1263</v>
      </c>
      <c r="F16" s="13">
        <v>6</v>
      </c>
      <c r="G16" s="13">
        <v>6</v>
      </c>
      <c r="H16" s="13"/>
      <c r="I16" s="16"/>
      <c r="J16" s="16">
        <v>10</v>
      </c>
      <c r="K16" s="16">
        <v>6</v>
      </c>
      <c r="L16" s="18">
        <f t="shared" si="0"/>
        <v>7.1</v>
      </c>
      <c r="M16" s="16" t="s">
        <v>33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2304652285</v>
      </c>
      <c r="C17" s="25" t="s">
        <v>1264</v>
      </c>
      <c r="D17" s="23" t="s">
        <v>50</v>
      </c>
      <c r="E17" s="15" t="s">
        <v>1265</v>
      </c>
      <c r="F17" s="15">
        <v>7</v>
      </c>
      <c r="G17" s="15">
        <v>10</v>
      </c>
      <c r="H17" s="15"/>
      <c r="I17" s="17"/>
      <c r="J17" s="17">
        <v>9.5</v>
      </c>
      <c r="K17" s="17">
        <v>5.5</v>
      </c>
      <c r="L17" s="19">
        <f t="shared" si="0"/>
        <v>7.5</v>
      </c>
      <c r="M17" s="17" t="s">
        <v>42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2304652286</v>
      </c>
      <c r="C18" s="24" t="s">
        <v>500</v>
      </c>
      <c r="D18" s="22" t="s">
        <v>294</v>
      </c>
      <c r="E18" s="13" t="s">
        <v>1189</v>
      </c>
      <c r="F18" s="13">
        <v>10</v>
      </c>
      <c r="G18" s="13">
        <v>10</v>
      </c>
      <c r="H18" s="13"/>
      <c r="I18" s="16"/>
      <c r="J18" s="16">
        <v>7</v>
      </c>
      <c r="K18" s="16">
        <v>5</v>
      </c>
      <c r="L18" s="18">
        <f t="shared" si="0"/>
        <v>7</v>
      </c>
      <c r="M18" s="16" t="s">
        <v>22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2304652287</v>
      </c>
      <c r="C19" s="24" t="s">
        <v>1266</v>
      </c>
      <c r="D19" s="22" t="s">
        <v>294</v>
      </c>
      <c r="E19" s="13" t="s">
        <v>780</v>
      </c>
      <c r="F19" s="13">
        <v>9</v>
      </c>
      <c r="G19" s="13">
        <v>6.5</v>
      </c>
      <c r="H19" s="13"/>
      <c r="I19" s="16"/>
      <c r="J19" s="16">
        <v>9</v>
      </c>
      <c r="K19" s="16">
        <v>6.5</v>
      </c>
      <c r="L19" s="18">
        <f t="shared" si="0"/>
        <v>7.6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2512924507</v>
      </c>
      <c r="C20" s="24" t="s">
        <v>1267</v>
      </c>
      <c r="D20" s="22" t="s">
        <v>294</v>
      </c>
      <c r="E20" s="13" t="s">
        <v>1268</v>
      </c>
      <c r="F20" s="13"/>
      <c r="G20" s="13"/>
      <c r="H20" s="13"/>
      <c r="I20" s="16"/>
      <c r="J20" s="16"/>
      <c r="K20" s="16"/>
      <c r="L20" s="18" t="str">
        <f t="shared" si="0"/>
        <v/>
      </c>
      <c r="M20" s="16" t="s">
        <v>274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2304652288</v>
      </c>
      <c r="C21" s="24" t="s">
        <v>379</v>
      </c>
      <c r="D21" s="22" t="s">
        <v>59</v>
      </c>
      <c r="E21" s="13" t="s">
        <v>828</v>
      </c>
      <c r="F21" s="13"/>
      <c r="G21" s="13"/>
      <c r="H21" s="13"/>
      <c r="I21" s="16"/>
      <c r="J21" s="16"/>
      <c r="K21" s="16"/>
      <c r="L21" s="18" t="str">
        <f t="shared" si="0"/>
        <v/>
      </c>
      <c r="M21" s="16" t="s">
        <v>274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2203722401</v>
      </c>
      <c r="C22" s="25" t="s">
        <v>1269</v>
      </c>
      <c r="D22" s="23" t="s">
        <v>59</v>
      </c>
      <c r="E22" s="15" t="s">
        <v>1270</v>
      </c>
      <c r="F22" s="15">
        <v>5</v>
      </c>
      <c r="G22" s="15">
        <v>7</v>
      </c>
      <c r="H22" s="15"/>
      <c r="I22" s="17"/>
      <c r="J22" s="17">
        <v>0</v>
      </c>
      <c r="K22" s="17">
        <v>1</v>
      </c>
      <c r="L22" s="19">
        <f t="shared" si="0"/>
        <v>2.1</v>
      </c>
      <c r="M22" s="17" t="s">
        <v>274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2304652289</v>
      </c>
      <c r="C23" s="24" t="s">
        <v>1271</v>
      </c>
      <c r="D23" s="22" t="s">
        <v>187</v>
      </c>
      <c r="E23" s="13" t="s">
        <v>492</v>
      </c>
      <c r="F23" s="13">
        <v>10</v>
      </c>
      <c r="G23" s="13">
        <v>10</v>
      </c>
      <c r="H23" s="13"/>
      <c r="I23" s="16"/>
      <c r="J23" s="16">
        <v>9.5</v>
      </c>
      <c r="K23" s="16">
        <v>7</v>
      </c>
      <c r="L23" s="18">
        <f t="shared" si="0"/>
        <v>8.6</v>
      </c>
      <c r="M23" s="16" t="s">
        <v>22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2304652290</v>
      </c>
      <c r="C24" s="24" t="s">
        <v>68</v>
      </c>
      <c r="D24" s="22" t="s">
        <v>299</v>
      </c>
      <c r="E24" s="13" t="s">
        <v>1272</v>
      </c>
      <c r="F24" s="13">
        <v>7</v>
      </c>
      <c r="G24" s="13">
        <v>5</v>
      </c>
      <c r="H24" s="13"/>
      <c r="I24" s="16"/>
      <c r="J24" s="16">
        <v>7.5</v>
      </c>
      <c r="K24" s="16">
        <v>6</v>
      </c>
      <c r="L24" s="18">
        <f t="shared" si="0"/>
        <v>6.4</v>
      </c>
      <c r="M24" s="16" t="s">
        <v>42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2304652296</v>
      </c>
      <c r="C25" s="24" t="s">
        <v>1273</v>
      </c>
      <c r="D25" s="22" t="s">
        <v>302</v>
      </c>
      <c r="E25" s="13" t="s">
        <v>1109</v>
      </c>
      <c r="F25" s="13">
        <v>9</v>
      </c>
      <c r="G25" s="13">
        <v>7.5</v>
      </c>
      <c r="H25" s="13"/>
      <c r="I25" s="16"/>
      <c r="J25" s="16">
        <v>8.5</v>
      </c>
      <c r="K25" s="16">
        <v>6</v>
      </c>
      <c r="L25" s="18">
        <f t="shared" si="0"/>
        <v>7.4</v>
      </c>
      <c r="M25" s="16" t="s">
        <v>22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2304652293</v>
      </c>
      <c r="C26" s="24" t="s">
        <v>1274</v>
      </c>
      <c r="D26" s="22" t="s">
        <v>69</v>
      </c>
      <c r="E26" s="13" t="s">
        <v>1144</v>
      </c>
      <c r="F26" s="13">
        <v>9</v>
      </c>
      <c r="G26" s="13">
        <v>6</v>
      </c>
      <c r="H26" s="13"/>
      <c r="I26" s="16"/>
      <c r="J26" s="16">
        <v>9</v>
      </c>
      <c r="K26" s="16">
        <v>6</v>
      </c>
      <c r="L26" s="18">
        <f t="shared" si="0"/>
        <v>7.3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2304652297</v>
      </c>
      <c r="C27" s="25" t="s">
        <v>1275</v>
      </c>
      <c r="D27" s="23" t="s">
        <v>1276</v>
      </c>
      <c r="E27" s="15" t="s">
        <v>1043</v>
      </c>
      <c r="F27" s="15">
        <v>6</v>
      </c>
      <c r="G27" s="15">
        <v>10</v>
      </c>
      <c r="H27" s="15"/>
      <c r="I27" s="17"/>
      <c r="J27" s="17">
        <v>10</v>
      </c>
      <c r="K27" s="17">
        <v>6.5</v>
      </c>
      <c r="L27" s="19">
        <f t="shared" si="0"/>
        <v>7.9</v>
      </c>
      <c r="M27" s="17" t="s">
        <v>33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2304663129</v>
      </c>
      <c r="C28" s="24" t="s">
        <v>651</v>
      </c>
      <c r="D28" s="22" t="s">
        <v>883</v>
      </c>
      <c r="E28" s="13" t="s">
        <v>1277</v>
      </c>
      <c r="F28" s="13">
        <v>7</v>
      </c>
      <c r="G28" s="13">
        <v>8</v>
      </c>
      <c r="H28" s="13"/>
      <c r="I28" s="16"/>
      <c r="J28" s="16">
        <v>7.5</v>
      </c>
      <c r="K28" s="16">
        <v>6.5</v>
      </c>
      <c r="L28" s="18">
        <f t="shared" si="0"/>
        <v>7.1</v>
      </c>
      <c r="M28" s="16" t="s">
        <v>42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2304652298</v>
      </c>
      <c r="C29" s="24" t="s">
        <v>1278</v>
      </c>
      <c r="D29" s="22" t="s">
        <v>81</v>
      </c>
      <c r="E29" s="13" t="s">
        <v>939</v>
      </c>
      <c r="F29" s="13">
        <v>8</v>
      </c>
      <c r="G29" s="13">
        <v>10</v>
      </c>
      <c r="H29" s="13"/>
      <c r="I29" s="16"/>
      <c r="J29" s="16">
        <v>10</v>
      </c>
      <c r="K29" s="16">
        <v>9</v>
      </c>
      <c r="L29" s="18">
        <f t="shared" si="0"/>
        <v>9.3000000000000007</v>
      </c>
      <c r="M29" s="16" t="s">
        <v>22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2304652299</v>
      </c>
      <c r="C30" s="24" t="s">
        <v>1279</v>
      </c>
      <c r="D30" s="22" t="s">
        <v>87</v>
      </c>
      <c r="E30" s="13" t="s">
        <v>1280</v>
      </c>
      <c r="F30" s="13">
        <v>9</v>
      </c>
      <c r="G30" s="13">
        <v>10</v>
      </c>
      <c r="H30" s="13"/>
      <c r="I30" s="16"/>
      <c r="J30" s="16">
        <v>9</v>
      </c>
      <c r="K30" s="16">
        <v>8.5</v>
      </c>
      <c r="L30" s="18">
        <f t="shared" si="0"/>
        <v>8.9</v>
      </c>
      <c r="M30" s="16" t="s">
        <v>22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2304652300</v>
      </c>
      <c r="C31" s="24" t="s">
        <v>1281</v>
      </c>
      <c r="D31" s="22" t="s">
        <v>95</v>
      </c>
      <c r="E31" s="13" t="s">
        <v>754</v>
      </c>
      <c r="F31" s="13">
        <v>10</v>
      </c>
      <c r="G31" s="13">
        <v>10</v>
      </c>
      <c r="H31" s="13"/>
      <c r="I31" s="16"/>
      <c r="J31" s="16">
        <v>8</v>
      </c>
      <c r="K31" s="16">
        <v>8</v>
      </c>
      <c r="L31" s="18">
        <f t="shared" si="0"/>
        <v>8.6</v>
      </c>
      <c r="M31" s="16" t="s">
        <v>22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2304652302</v>
      </c>
      <c r="C32" s="25" t="s">
        <v>1282</v>
      </c>
      <c r="D32" s="23" t="s">
        <v>655</v>
      </c>
      <c r="E32" s="15" t="s">
        <v>1283</v>
      </c>
      <c r="F32" s="15">
        <v>5</v>
      </c>
      <c r="G32" s="15">
        <v>5</v>
      </c>
      <c r="H32" s="15"/>
      <c r="I32" s="17"/>
      <c r="J32" s="17">
        <v>5</v>
      </c>
      <c r="K32" s="17">
        <v>6</v>
      </c>
      <c r="L32" s="19">
        <f t="shared" si="0"/>
        <v>5.4</v>
      </c>
      <c r="M32" s="17" t="s">
        <v>274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2304652303</v>
      </c>
      <c r="C33" s="24" t="s">
        <v>1284</v>
      </c>
      <c r="D33" s="22" t="s">
        <v>117</v>
      </c>
      <c r="E33" s="13" t="s">
        <v>805</v>
      </c>
      <c r="F33" s="13">
        <v>9</v>
      </c>
      <c r="G33" s="13">
        <v>10</v>
      </c>
      <c r="H33" s="13"/>
      <c r="I33" s="16"/>
      <c r="J33" s="16">
        <v>9.5</v>
      </c>
      <c r="K33" s="16">
        <v>6</v>
      </c>
      <c r="L33" s="18">
        <f t="shared" si="0"/>
        <v>8</v>
      </c>
      <c r="M33" s="16" t="s">
        <v>22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2304652305</v>
      </c>
      <c r="C34" s="24" t="s">
        <v>1285</v>
      </c>
      <c r="D34" s="22" t="s">
        <v>501</v>
      </c>
      <c r="E34" s="13" t="s">
        <v>682</v>
      </c>
      <c r="F34" s="13">
        <v>9</v>
      </c>
      <c r="G34" s="13">
        <v>5</v>
      </c>
      <c r="H34" s="13"/>
      <c r="I34" s="16"/>
      <c r="J34" s="16">
        <v>9.5</v>
      </c>
      <c r="K34" s="16">
        <v>6</v>
      </c>
      <c r="L34" s="18">
        <f t="shared" si="0"/>
        <v>7.3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2304652306</v>
      </c>
      <c r="C35" s="24" t="s">
        <v>1286</v>
      </c>
      <c r="D35" s="22" t="s">
        <v>227</v>
      </c>
      <c r="E35" s="13" t="s">
        <v>368</v>
      </c>
      <c r="F35" s="13">
        <v>8</v>
      </c>
      <c r="G35" s="13">
        <v>9.5</v>
      </c>
      <c r="H35" s="13"/>
      <c r="I35" s="16"/>
      <c r="J35" s="16">
        <v>9.5</v>
      </c>
      <c r="K35" s="16">
        <v>6</v>
      </c>
      <c r="L35" s="18">
        <f t="shared" si="0"/>
        <v>7.8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2304178554</v>
      </c>
      <c r="C36" s="24" t="s">
        <v>1181</v>
      </c>
      <c r="D36" s="22" t="s">
        <v>416</v>
      </c>
      <c r="E36" s="13" t="s">
        <v>533</v>
      </c>
      <c r="F36" s="13">
        <v>10</v>
      </c>
      <c r="G36" s="13">
        <v>7.5</v>
      </c>
      <c r="H36" s="13"/>
      <c r="I36" s="16"/>
      <c r="J36" s="16">
        <v>10</v>
      </c>
      <c r="K36" s="16">
        <v>9.5</v>
      </c>
      <c r="L36" s="18">
        <f t="shared" si="0"/>
        <v>9.4</v>
      </c>
      <c r="M36" s="16" t="s">
        <v>22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2304652309</v>
      </c>
      <c r="C37" s="25" t="s">
        <v>967</v>
      </c>
      <c r="D37" s="23" t="s">
        <v>122</v>
      </c>
      <c r="E37" s="15" t="s">
        <v>1287</v>
      </c>
      <c r="F37" s="15">
        <v>7</v>
      </c>
      <c r="G37" s="15">
        <v>5</v>
      </c>
      <c r="H37" s="15"/>
      <c r="I37" s="17"/>
      <c r="J37" s="17">
        <v>7.5</v>
      </c>
      <c r="K37" s="17">
        <v>6</v>
      </c>
      <c r="L37" s="19">
        <f t="shared" si="0"/>
        <v>6.4</v>
      </c>
      <c r="M37" s="17" t="s">
        <v>42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2304652310</v>
      </c>
      <c r="C38" s="24" t="s">
        <v>1288</v>
      </c>
      <c r="D38" s="22" t="s">
        <v>236</v>
      </c>
      <c r="E38" s="13" t="s">
        <v>738</v>
      </c>
      <c r="F38" s="13">
        <v>9</v>
      </c>
      <c r="G38" s="13">
        <v>8.5</v>
      </c>
      <c r="H38" s="13"/>
      <c r="I38" s="16"/>
      <c r="J38" s="16">
        <v>9</v>
      </c>
      <c r="K38" s="16">
        <v>7.5</v>
      </c>
      <c r="L38" s="18">
        <f t="shared" si="0"/>
        <v>8.3000000000000007</v>
      </c>
      <c r="M38" s="16" t="s">
        <v>22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2304652311</v>
      </c>
      <c r="C39" s="24" t="s">
        <v>1289</v>
      </c>
      <c r="D39" s="22" t="s">
        <v>752</v>
      </c>
      <c r="E39" s="13" t="s">
        <v>824</v>
      </c>
      <c r="F39" s="13">
        <v>9</v>
      </c>
      <c r="G39" s="13">
        <v>9.5</v>
      </c>
      <c r="H39" s="13"/>
      <c r="I39" s="16"/>
      <c r="J39" s="16">
        <v>9.5</v>
      </c>
      <c r="K39" s="16">
        <v>6</v>
      </c>
      <c r="L39" s="18">
        <f t="shared" si="0"/>
        <v>7.9</v>
      </c>
      <c r="M39" s="16" t="s">
        <v>22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2304652312</v>
      </c>
      <c r="C40" s="24" t="s">
        <v>1290</v>
      </c>
      <c r="D40" s="22" t="s">
        <v>752</v>
      </c>
      <c r="E40" s="13" t="s">
        <v>600</v>
      </c>
      <c r="F40" s="13">
        <v>3</v>
      </c>
      <c r="G40" s="13">
        <v>8.5</v>
      </c>
      <c r="H40" s="13"/>
      <c r="I40" s="16"/>
      <c r="J40" s="16">
        <v>7.5</v>
      </c>
      <c r="K40" s="16">
        <v>6</v>
      </c>
      <c r="L40" s="18">
        <f t="shared" si="0"/>
        <v>6.4</v>
      </c>
      <c r="M40" s="16" t="s">
        <v>274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2304652314</v>
      </c>
      <c r="C41" s="24" t="s">
        <v>1291</v>
      </c>
      <c r="D41" s="22" t="s">
        <v>752</v>
      </c>
      <c r="E41" s="13" t="s">
        <v>1292</v>
      </c>
      <c r="F41" s="13">
        <v>5</v>
      </c>
      <c r="G41" s="13">
        <v>5.5</v>
      </c>
      <c r="H41" s="13"/>
      <c r="I41" s="16"/>
      <c r="J41" s="16">
        <v>7.5</v>
      </c>
      <c r="K41" s="16">
        <v>6.5</v>
      </c>
      <c r="L41" s="18">
        <f t="shared" si="0"/>
        <v>6.4</v>
      </c>
      <c r="M41" s="16" t="s">
        <v>33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2304652315</v>
      </c>
      <c r="C42" s="25" t="s">
        <v>646</v>
      </c>
      <c r="D42" s="23" t="s">
        <v>753</v>
      </c>
      <c r="E42" s="15" t="s">
        <v>1110</v>
      </c>
      <c r="F42" s="15">
        <v>7</v>
      </c>
      <c r="G42" s="15">
        <v>7.5</v>
      </c>
      <c r="H42" s="15"/>
      <c r="I42" s="17"/>
      <c r="J42" s="17">
        <v>5</v>
      </c>
      <c r="K42" s="17">
        <v>6</v>
      </c>
      <c r="L42" s="19">
        <f t="shared" si="0"/>
        <v>6.1</v>
      </c>
      <c r="M42" s="17" t="s">
        <v>42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2304652316</v>
      </c>
      <c r="C43" s="24" t="s">
        <v>364</v>
      </c>
      <c r="D43" s="22" t="s">
        <v>342</v>
      </c>
      <c r="E43" s="13" t="s">
        <v>1189</v>
      </c>
      <c r="F43" s="13">
        <v>8</v>
      </c>
      <c r="G43" s="13">
        <v>7.5</v>
      </c>
      <c r="H43" s="13"/>
      <c r="I43" s="16"/>
      <c r="J43" s="16">
        <v>8.5</v>
      </c>
      <c r="K43" s="16">
        <v>8</v>
      </c>
      <c r="L43" s="18">
        <f t="shared" si="0"/>
        <v>8.1</v>
      </c>
      <c r="M43" s="16" t="s">
        <v>22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2304652317</v>
      </c>
      <c r="C44" s="24" t="s">
        <v>1293</v>
      </c>
      <c r="D44" s="22" t="s">
        <v>241</v>
      </c>
      <c r="E44" s="13" t="s">
        <v>776</v>
      </c>
      <c r="F44" s="13">
        <v>5</v>
      </c>
      <c r="G44" s="13">
        <v>8.5</v>
      </c>
      <c r="H44" s="13"/>
      <c r="I44" s="16"/>
      <c r="J44" s="16">
        <v>7.5</v>
      </c>
      <c r="K44" s="16">
        <v>6.5</v>
      </c>
      <c r="L44" s="18">
        <f t="shared" si="0"/>
        <v>6.9</v>
      </c>
      <c r="M44" s="16" t="s">
        <v>33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2508516107</v>
      </c>
      <c r="C45" s="24" t="s">
        <v>1294</v>
      </c>
      <c r="D45" s="22" t="s">
        <v>926</v>
      </c>
      <c r="E45" s="13" t="s">
        <v>1295</v>
      </c>
      <c r="F45" s="13">
        <v>7</v>
      </c>
      <c r="G45" s="13">
        <v>7.5</v>
      </c>
      <c r="H45" s="13"/>
      <c r="I45" s="16"/>
      <c r="J45" s="16">
        <v>9</v>
      </c>
      <c r="K45" s="16">
        <v>5</v>
      </c>
      <c r="L45" s="18">
        <f t="shared" si="0"/>
        <v>6.8</v>
      </c>
      <c r="M45" s="16" t="s">
        <v>42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2304652308</v>
      </c>
      <c r="C46" s="24" t="s">
        <v>1296</v>
      </c>
      <c r="D46" s="22" t="s">
        <v>349</v>
      </c>
      <c r="E46" s="13" t="s">
        <v>516</v>
      </c>
      <c r="F46" s="13">
        <v>5</v>
      </c>
      <c r="G46" s="13">
        <v>5</v>
      </c>
      <c r="H46" s="13"/>
      <c r="I46" s="16"/>
      <c r="J46" s="16">
        <v>5</v>
      </c>
      <c r="K46" s="16">
        <v>6</v>
      </c>
      <c r="L46" s="18">
        <f t="shared" si="0"/>
        <v>5.4</v>
      </c>
      <c r="M46" s="16" t="s">
        <v>274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2304652318</v>
      </c>
      <c r="C47" s="25" t="s">
        <v>1297</v>
      </c>
      <c r="D47" s="23" t="s">
        <v>359</v>
      </c>
      <c r="E47" s="15" t="s">
        <v>869</v>
      </c>
      <c r="F47" s="15">
        <v>5</v>
      </c>
      <c r="G47" s="15">
        <v>5</v>
      </c>
      <c r="H47" s="15"/>
      <c r="I47" s="17"/>
      <c r="J47" s="17">
        <v>5</v>
      </c>
      <c r="K47" s="17">
        <v>6</v>
      </c>
      <c r="L47" s="19">
        <f t="shared" si="0"/>
        <v>5.4</v>
      </c>
      <c r="M47" s="17" t="s">
        <v>274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39" t="s">
        <v>141</v>
      </c>
      <c r="B48" s="40"/>
      <c r="C48" s="41"/>
      <c r="D48" s="41"/>
      <c r="E48" s="41"/>
      <c r="F48" s="40"/>
      <c r="G48" s="40"/>
      <c r="H48" s="40"/>
      <c r="I48" s="40"/>
      <c r="J48" s="42"/>
      <c r="K48" s="8"/>
      <c r="L48" s="9"/>
      <c r="M48" s="10"/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17" ht="12.75" customHeight="1" x14ac:dyDescent="0.35">
      <c r="A49" s="43"/>
      <c r="B49" s="33"/>
      <c r="C49" s="44"/>
      <c r="D49" s="45"/>
      <c r="E49" s="45"/>
      <c r="F49" s="46"/>
      <c r="G49" s="46"/>
      <c r="H49" s="46"/>
      <c r="I49" s="46"/>
      <c r="J49" s="47"/>
    </row>
    <row r="50" spans="1:17" ht="12.75" customHeight="1" x14ac:dyDescent="0.35">
      <c r="A50" s="48" t="s">
        <v>142</v>
      </c>
      <c r="B50" s="33"/>
      <c r="C50" s="44"/>
      <c r="D50" s="45" t="s">
        <v>143</v>
      </c>
      <c r="E50" s="45"/>
      <c r="F50" s="46" t="str">
        <f>TEXT(COUNTIF(L8:L47,"&gt;="&amp;Q50),"#0")</f>
        <v>9</v>
      </c>
      <c r="G50" s="46"/>
      <c r="H50" s="31" t="s">
        <v>144</v>
      </c>
      <c r="I50" s="46" t="str">
        <f>ROUND(F50/IF(COUNTIF(L8:L47,"&gt;=0")=0,1,COUNTIF(L8:L47,"&gt;=0")),4)*100&amp;"%"</f>
        <v>23.68%</v>
      </c>
      <c r="J50" s="47"/>
      <c r="Q50" s="26">
        <v>7.95</v>
      </c>
    </row>
    <row r="51" spans="1:17" ht="12.75" customHeight="1" x14ac:dyDescent="0.35">
      <c r="A51" s="43" t="s">
        <v>145</v>
      </c>
      <c r="B51" s="33"/>
      <c r="C51" s="44"/>
      <c r="D51" s="45" t="s">
        <v>146</v>
      </c>
      <c r="E51" s="45"/>
      <c r="F51" s="46" t="str">
        <f>TEXT(COUNTIF(L8:L47,"&gt;="&amp;Q51)-F50,"#0")</f>
        <v>17</v>
      </c>
      <c r="G51" s="46"/>
      <c r="H51" s="31" t="s">
        <v>144</v>
      </c>
      <c r="I51" s="46" t="str">
        <f>ROUND(F51/IF(COUNTIF(L8:L47,"&gt;=0")=0,1,COUNTIF(L8:L47,"&gt;=0")),4)*100&amp;"%"</f>
        <v>44.74%</v>
      </c>
      <c r="J51" s="47"/>
      <c r="Q51" s="26">
        <v>6.45</v>
      </c>
    </row>
    <row r="52" spans="1:17" ht="12.75" customHeight="1" x14ac:dyDescent="0.35">
      <c r="A52" s="27"/>
      <c r="D52" s="45" t="s">
        <v>147</v>
      </c>
      <c r="E52" s="45"/>
      <c r="F52" s="46" t="str">
        <f>TEXT(COUNTIF(L8:L47,"&gt;="&amp;Q52)-F51-F50,"#0")</f>
        <v>10</v>
      </c>
      <c r="G52" s="46"/>
      <c r="H52" s="31" t="s">
        <v>144</v>
      </c>
      <c r="I52" s="46" t="str">
        <f>ROUND(F52/IF(COUNTIF(L8:L47,"&gt;=0")=0,1,COUNTIF(L8:L47,"&gt;=0")),4)*100&amp;"%"</f>
        <v>26.32%</v>
      </c>
      <c r="J52" s="47"/>
      <c r="Q52" s="26">
        <v>4.95</v>
      </c>
    </row>
    <row r="53" spans="1:17" ht="12.75" customHeight="1" x14ac:dyDescent="0.35">
      <c r="A53" s="28"/>
      <c r="B53" s="29"/>
      <c r="C53" s="30"/>
      <c r="D53" s="49" t="s">
        <v>148</v>
      </c>
      <c r="E53" s="49"/>
      <c r="F53" s="50" t="str">
        <f>TEXT(COUNTIF(L8:L47,"&gt;=0")-F49-F50-F51-F52,"#0")</f>
        <v>2</v>
      </c>
      <c r="G53" s="50"/>
      <c r="H53" s="32" t="s">
        <v>144</v>
      </c>
      <c r="I53" s="50" t="str">
        <f>ROUND(F53/IF(COUNTIF(L8:L47,"&gt;=0")=0,1,COUNTIF(L8:L47,"&gt;=0")),4)*100&amp;"%"</f>
        <v>5.26%</v>
      </c>
      <c r="J53" s="51"/>
    </row>
    <row r="65536" ht="14.5" x14ac:dyDescent="0.35"/>
  </sheetData>
  <mergeCells count="32">
    <mergeCell ref="D52:E52"/>
    <mergeCell ref="F52:G52"/>
    <mergeCell ref="I52:J52"/>
    <mergeCell ref="D53:E53"/>
    <mergeCell ref="F53:G53"/>
    <mergeCell ref="I53:J53"/>
    <mergeCell ref="A48:J49"/>
    <mergeCell ref="A50:C50"/>
    <mergeCell ref="D50:E50"/>
    <mergeCell ref="F50:G50"/>
    <mergeCell ref="I50:J50"/>
    <mergeCell ref="A51:C51"/>
    <mergeCell ref="D51:E51"/>
    <mergeCell ref="F51:G51"/>
    <mergeCell ref="I51:J51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42">
    <dataValidation type="list" allowBlank="1" showInputMessage="1" showErrorMessage="1" errorTitle="Thông báo" error="Bạn phải nhập [Đạt] = d, Đ, đ, 1   [Chưa đạt] = c, CĐ, cđ, 2" sqref="C5" xr:uid="{679C5576-A873-469D-AC90-0EFC65A4FDCB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C315FDDA-A54E-4CCB-8B41-6543C45CA1DA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92B946F5-A778-4A49-9085-163557721EFF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1DEA7CF1-DD42-4325-94D3-4E01D287ACCE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6302D575-195D-426A-BEE9-33B5B827BC3B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358EBDA2-81EC-493F-AF71-FECE6458AD52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B0C8F44B-4CBF-43DC-8112-07777E53CDFA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CB3BE844-B572-4024-96F4-CD1244D19369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4C40AE0D-7026-413B-B7EC-04BB73281A06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4BC2B29C-A4D9-4A1A-B901-29899B3B4D74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1F79A40D-CF72-4528-8BA7-6B5FF3AB7DF8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4602537B-C979-4F25-9BB7-750C8B6B0ECE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C5399D58-7A3A-415D-969D-B96520C2E80C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9EB007C1-27AF-4C43-ABD9-FF55C94583A1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05090454-A6C6-4E88-86F3-FE10265EFECB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1CC22F28-9456-4E90-86E1-6914664B6E2F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D77BEDD1-EF89-45A5-A223-1CBCA7BAA54C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A5DA88F1-B093-49DA-B4E6-EEBC0794DC25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4D081206-6AD7-485D-B1DF-2EEC23AB00A1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CAE92BC9-D912-4253-A3A3-2C5179E9E1E5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A846009A-0E48-4E2D-949E-737FE21956C3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23B72938-A2FB-49AF-AADF-2FBFE6B30039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EDAA1DCB-DF46-44D5-A144-1CC22DB7CD04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12EBE32D-046E-472B-AC5E-6F34A13B009A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5A92ACD9-113C-4B8D-BE79-4891C8429AFD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078EB455-EB10-4F79-AE6E-B1D34A8C6391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8ED05C54-CE65-4700-BC93-7A810C8D91B8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9994270F-901C-441E-A9F2-0F51BF907042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1581BA18-B5B9-4138-A292-C7CE359072A9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C1010397-BF1E-4753-B9A6-2690CC19DB36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DC6D04FE-E9E5-4ECB-BC96-6F1FD90E2C2D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D2DC7C09-9120-4A43-AFF9-4EDE87DA7DA6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AB3B6A8E-C1F3-4B13-93D8-3D09083E48F8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B472B9D9-3B56-4052-B063-A2DF797D8268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279C7863-5527-4BFA-8A6A-30CF2B36A919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DF8F603C-2DBA-47E6-88DE-BA0AFDE01C65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5B3A5BBF-BC86-4FA5-8F74-A3E3EE82F10F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18D69F75-1233-4CFF-86FE-FAAFF99430BE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10AAD27D-4836-451E-87B7-CF0E81D2B9B4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09B2A37C-0602-441E-9D40-E94375B6E151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4E146028-C9D4-4AFE-B9C3-691DE3389AF6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DC4DFC03-8A6E-4BD9-AF46-43282747E9DD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538343CA-AB14-48DF-9E47-3376DEA9D775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1F738AFA-1F31-4CAA-8CE0-E25FF0BA9694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A59095C5-9CC9-459D-AC02-B6F0C8DEC96E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238EC547-E6E4-47DC-80F5-C6EA2B515C40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33F06F19-1791-4218-96EC-54EF37CECCE2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6C346949-6F5F-4958-B9F6-0F1413FDA0E0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BCB19E26-20A5-4FEF-BB00-43DB348EBC7D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2F32AD66-ACD4-4493-BE66-47BC545A4C9D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FBB9091B-777D-4ACE-B191-968B76E373B3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D21C02F0-A96B-490D-A753-AC6D9CDBEF81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89231536-4F03-4779-ADEB-F6AACDFFD652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38587509-DA01-4547-B444-19C767AFB4BC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987D5DD7-8A39-4ADD-977F-AFC7BEFF29D7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A5818481-00BF-4928-A8FA-F237B652BBBB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864166E6-54A3-48D4-B3A3-273A2A55FD61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1318AB93-30BB-4736-B32F-00257708DBF3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7A40A9EB-2D42-4963-BA84-70916209327E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D4521DE7-E163-4CF4-86F6-61DECAA8CE03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9B3CA73F-96DA-4465-ADA6-8392F4283302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CFBB22D6-1A81-4918-A5A6-BCA6E5C8FF21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17CBA5A9-4B8C-496A-8A89-2BBBA7B8AE6D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B9225AC4-D035-4590-B443-8C05F83C548F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A75FF6C9-BD35-4823-A4E1-3F3DB48C854E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F4660293-9D7A-4376-A82B-88329533BAFD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091018A4-BCF7-4BA6-AD09-5F220DD037BD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981D57ED-8221-4BFB-926C-3F9D9BD2C5C0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3F31432B-9EE1-401A-8F8A-ED71BE2BE655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BA5D561F-E349-4361-A3AD-C2CD29BC05E8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8B92FFF2-1B6F-4B11-9F08-085F221912DA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62C14E58-8112-4220-B1C5-E70403EBCCB9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74FAE87C-47C5-49E0-ABC9-27FB9F1CE373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BAA0E9F3-2689-4592-A17C-4BB2DCBEC0C3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A40EF064-613B-430A-808E-0CC1E184346B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197A14F9-BAA5-4F21-AEC1-2B5808832645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ED0471F9-DA9F-44E0-BFFB-FA9FDE7EB3CF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A0C2FF45-1B05-456F-AC8B-4884FC288742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F3DE7E5C-B184-48F9-A20E-4A26FC76313C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E047107C-9031-4A54-B8B4-68F32B867FB9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2E82C441-D23F-4DF5-9878-6A4093C1B96C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652F21E1-3F4E-442A-97EB-DE8166CB918A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C078540D-914F-462F-8FC2-C5EC065E10F7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4D3E47CE-A686-4AA9-B2DB-E17AF706963D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AFDD573C-5465-49C2-B1FF-F6AEAED855FD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ED4E7070-805A-46DF-AF4C-4C8F91A92325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C3CC76FA-5C43-494D-A5CF-48A3E157A02F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8137C002-C556-4065-801E-45DC6E89A4D1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69D660E5-1ED6-4F43-9020-12AF013F79AD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1D8292FB-7E78-433D-B954-24D9A2B3A5C0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DBF57A33-93C4-4D0B-AD1D-5880AF304529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F21695D6-AC1F-4CC2-849B-9D3CAB50087C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F230915D-82D9-4B3D-874F-724E9E6E2CE4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80EAA0E8-52BE-4709-A0CF-3621B37DA897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B008A2E8-CC21-4955-AAC1-A56831A6EB31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E00CA05A-5B32-4203-B40E-4336ABBB1FA7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B4A463B8-0657-4801-ADEE-82C45258781E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BDA05839-CC7F-4087-B779-E8FE01129DEE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ED287F34-660F-4E64-9764-37D8DE44D4A2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E0A73D64-7868-4BF3-9C03-3987B5BEFF45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8AC813C9-7196-460A-9403-D2925E940F0D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96F9B2C4-76BC-4E82-BD65-08B3D967E193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0F5C2944-D116-4F05-B78E-EB138FC4C285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4645BE38-FF4D-43E3-8D4D-6E24C6FFF469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7476226D-9B5A-48B2-993B-CFC2484C3CA6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CAAF0A9E-C25D-4A41-A9CE-564B426BB2FC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67AE9773-341F-4909-A410-F833E94D0DDF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74B37588-4380-4CA8-90DD-602102EABA2F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9FC8FFBB-C00F-4095-8342-244B5594D375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29C8C28D-3BB8-4755-96EB-AC91F1C77D60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D2A4AD6F-2665-4615-B665-EE3B8D04E62B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38BFC773-05F0-479B-8352-C558F197A301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DEF8B036-AB1F-48F7-87F0-A0C4D54A4AEC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D17B2387-EDD2-4298-97B7-964E36553BB9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9956DB3A-6BF7-43E1-8910-24475F3D43E8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B1E32FA7-3FAC-4CE3-84AA-427D5A48AD0F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8B483EEC-BC29-486C-A68B-D4D7AA7F90DD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51FBD11C-EC63-4F02-BDCB-FF281A30D27E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0AC46DD2-4920-45CC-9C03-A695DF8E25FC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475C0AD9-E61F-4822-B63A-3CA41B03B4B5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6F3C2242-9F52-4E4D-B85E-75569C3E714B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4800724F-790A-4CEC-9210-7FF48ED96DBE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4DBB0985-4512-425C-A86C-C7BEB73E6FC7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571D8AE4-11F1-4EA8-B4CF-A3DC42A7D575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4CD94F60-36A5-4A4B-8E69-7B4B58D0C4A2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722058E9-4F77-4361-8107-E8A118E9744F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54EEADDF-CD1D-4B1F-B336-15318B7BB57F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8091CE38-6129-466C-83DF-2FA24EC541D7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D534E00F-A828-47C9-B7A0-2DB6D13FB698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22224D9F-A2EC-412F-A6AF-7F06C70492EA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4825CC02-7A43-4AAD-BFAC-2E541E412C46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C8962DCC-5195-4BFB-8439-B125F7C35D17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D120D6C6-86AB-4B30-A70D-F1C9280B7B0C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348527D4-D7A6-40E4-9C12-3740A7839409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D4AE8847-AF1C-48B1-B249-8BB63D579B64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0648CCB5-A33E-42CD-B6A4-7DD5B328488B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3CA52CB7-58DA-46D9-B7E2-E48FBEE4A323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40CCF384-461F-43CB-B3F1-DC66A76F4CE8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AE348BAB-6137-46B6-9C37-196EF53C540C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0638F101-6EA4-4CE0-BE0B-C7D1759488FC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5D9F993D-D4F8-442B-965F-5988A4832756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EA3D6DC7-73C6-4C2A-A74B-FF65F479B8EA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6176112C-B90B-4F47-ADDC-3E12CC3BE35E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8B6BADCF-D2EA-4A7F-8431-77B9A1C03705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4C1E7038-6A31-42BF-A66E-D8E5B565D707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EFF623FC-D8C3-490C-B17F-876458384A60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A29FB76F-210D-40BB-A256-C36827C55C43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9635FD26-4E83-47E9-AE43-E12CE3B28AE1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8A0C8982-4284-46AE-BD30-2980C2C0DBD0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AA4335AD-3748-4D60-B081-30B4BF3E802A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04B14840-5031-4E36-8B9B-2AE925002044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3EEF0226-080D-4B62-89FF-48F436BE9175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E00C181F-56CE-4B8A-AE7F-2F4626EEB01D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EFBC7D57-1C75-454D-95B3-112033357337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FE7B1A3A-D2D4-48B8-9EBB-B3CED4727870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2661226E-CA0E-4C91-BDC3-2396DEAAFFD6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42E9FFEF-4577-4F11-B4C1-E5CCF8A214FB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675B5321-710C-406F-A8A5-ABEB9598C11B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0BE87EF6-7B6A-4E53-850E-AEAA2580E38A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0BC87A90-C1A2-484F-B1AE-E53D181EFF68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04A4B1CC-2E1A-4784-BB55-58A2A29A6592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31050F1C-FEA6-4973-904F-A7ADAD9ECB4F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6C248FD5-9B57-476A-AEC9-F31B56A08E3A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1BCBE9DF-46A1-450A-83A3-A35AD1C925B5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2E32BA0E-77C5-4435-87BB-89B2B65006BC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F25118C5-E5BD-4D77-B415-D80D9D1DA9EE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06A30F9D-22E4-467B-AFA1-A75BC7595D01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B7415E1C-DA38-44DE-9AB5-7D959DC267F6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4413D932-53E6-4914-AED8-1FF4EADC36FC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F93EB8C4-AA3B-4C07-ABC7-F0F0865F5212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31B05831-8208-487D-B940-778C7D26FE6D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91D21CC7-464E-4CD9-B49C-365D5C37D371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8BFF7533-7933-4711-B658-4EBEAC4D0183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9C07CAF0-CFCA-4E53-B3D0-C808807C7AC6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52315721-229B-4581-BB84-E9FE8BB4153A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2831D948-184F-4C67-A1A5-357E3D8F7768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6006C8B4-2578-4985-980E-3CABBA109252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13B03A57-9F2F-45EF-85FE-875AF0959005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57B3D656-25E2-45FE-A6D8-D4A6AA9B1E73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493F4E9F-8770-4AF8-986D-8997A22F8D91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5A2678C5-E705-46B4-AFC5-909BC8636DE2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8FEE51FA-1FC6-4CB6-9318-CFC12EDF6E5E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53FD5F14-33C7-445E-9AA1-A40BC8ED76FA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8E5379D9-04A1-4F95-AAE4-09565D5C6D11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743B323F-0573-4F71-A20D-991277B05BC3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6C73AE27-C45B-4F0B-B6FD-ABAF1A0EC154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3142E5C4-16E9-46B3-A72F-356C8B9987F7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A730DFC4-247E-4AE7-B99C-4100788DF71A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04154FBA-D39C-451C-9438-44C356E0BB9C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B7E2BCA4-8879-4D1F-8F8D-2C91D0C3D08D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566AB3A1-36F2-4479-BCDD-EF4A66BA5255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9DD54D0E-21CB-4302-9EDB-3F78D1E60D3E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4E381E7B-2C0A-4DB7-8393-7B5CF17C10C1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74CFA25F-F7E6-42CD-BAF4-8E7697626499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90C942BD-4CCA-488C-98FA-6829301B630F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C661CDF0-700F-4D2D-BDF5-56CDA814E5CE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A0F0EBAA-9A4E-4E41-84CC-C03AC3B58834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414E2003-ECB4-4487-AB15-EE79EFFC01F9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EB29F501-9602-44FB-B795-D2D4DEE5B6E9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F55E98EB-D7DE-4FC1-B6E6-D139CC1BE105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F84F08E0-2CDA-42AC-8134-CCA9DC0AABC1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3188BE09-C5D1-40C6-8DC6-17B0074B44A8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2E9B4D11-7C7F-4B22-BBC3-60E67962768F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44AD80CA-E98F-4EC7-97E0-FB874CCF945D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A96673CE-5416-4874-B6B9-33D89D541E20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F997F847-E4D5-4A86-B190-0C97D6DC332F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D2419D9C-2268-4F1D-A56F-287A757308D8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2DF46624-83AC-44D2-BD4F-543448559C10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BB80B485-FF79-409F-8F01-33F0BEBBCB28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5A7631B6-C107-411B-B285-9F175D7E79EC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10FDE84E-625B-4A62-80B1-103714F072FB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048BA2FB-8E14-4F47-999E-1FD956C355FC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0E406D0E-1F97-4986-A5C5-7FDC2868A99B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BAB2960F-5FA8-4971-BB35-DFCE442E9F79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CAE51CDC-25E5-46DD-8887-28706E050CEF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1285B192-1DF6-41C5-8EDB-224AC55AF8FE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A69FBCDD-2E97-4083-9968-24196383415C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5D5B0AEB-7AEB-4D0F-9268-88C55BA40AD0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A1C9A881-9949-4AAC-BDF6-4654C326C0D4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4C723158-F5C6-4B43-8096-474529C68821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665D6C63-5F2A-419C-8D7E-3FC1740EB35F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64F25217-CBC2-4DAE-A166-DBCFFD66C014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91D402BE-7289-4A3C-AAE2-3FD3B070B24A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BB8A028C-2B68-4179-A3B3-BE08FAAA1328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CA99762F-0111-44A4-B680-025187DCFAA6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48F2E3DE-1A81-43B0-A4B1-32C811844B53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E676A356-A07D-4E2B-8E2C-55617F80E861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E51A7D34-F3E6-4672-A74A-476C15582181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9E8AB3E3-51DF-4C48-AE7A-4ED3BC1EFB8B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46020265-3927-4029-88D3-B7C91BBC7AF0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061D20A6-5E81-4371-8796-BC2A519842EA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849D144D-6B10-45A1-A08E-68CDEC6038DB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A0C9F8F4-BF56-41B9-973D-6733D1022EF1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BE7218FA-5CC2-4458-8AD0-3BDFD8ACD31E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9FB096CA-C3E2-4352-96E4-763BAEC6519C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61C2D081-857F-4B85-9932-18C45C685584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D4A58CF2-A3CF-4D5C-8B01-467410A4A40C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94941307-3CA3-4DCB-BF99-927FA3D606C2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196778F5-AA56-4124-BCE8-60A36287968A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C84DBC37-DDD0-47CB-9ED2-14F538303F81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8B4EDB35-7651-45F1-BEAF-B04D07711B5E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51CBCDDB-8C57-4A61-964F-F30D62CBC451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0EB6-A7A3-42D5-9AC0-EF1F37E3A5EA}">
  <dimension ref="A1:AK65536"/>
  <sheetViews>
    <sheetView showRuler="0" zoomScaleNormal="100" workbookViewId="0">
      <selection activeCell="D48" sqref="D48:J52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1298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2203722391</v>
      </c>
      <c r="C8" s="24" t="s">
        <v>1299</v>
      </c>
      <c r="D8" s="22" t="s">
        <v>20</v>
      </c>
      <c r="E8" s="13" t="s">
        <v>1300</v>
      </c>
      <c r="F8" s="13">
        <v>9</v>
      </c>
      <c r="G8" s="13">
        <v>9.5</v>
      </c>
      <c r="H8" s="13"/>
      <c r="I8" s="16"/>
      <c r="J8" s="16">
        <v>6.5</v>
      </c>
      <c r="K8" s="16">
        <v>5.5</v>
      </c>
      <c r="L8" s="18">
        <f t="shared" ref="L8:L46" si="0">IF((COUNT(F8:I8)+COUNT(J8:J8)*2+COUNT(K8:K8)*3),ROUND((SUM(F8:I8)+SUM(J8:J8)*2+SUM(K8:K8)*3)/(COUNT(F8:I8)+COUNT(J8:J8)*2+COUNT(K8:K8)*3),1),"")</f>
        <v>6.9</v>
      </c>
      <c r="M8" s="16" t="s">
        <v>22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2304932250</v>
      </c>
      <c r="C9" s="24" t="s">
        <v>1301</v>
      </c>
      <c r="D9" s="22" t="s">
        <v>24</v>
      </c>
      <c r="E9" s="13" t="s">
        <v>635</v>
      </c>
      <c r="F9" s="13">
        <v>10</v>
      </c>
      <c r="G9" s="13">
        <v>8.5</v>
      </c>
      <c r="H9" s="13"/>
      <c r="I9" s="16"/>
      <c r="J9" s="16">
        <v>9.5</v>
      </c>
      <c r="K9" s="16">
        <v>10</v>
      </c>
      <c r="L9" s="18">
        <f t="shared" si="0"/>
        <v>9.6</v>
      </c>
      <c r="M9" s="16" t="s">
        <v>22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2304932251</v>
      </c>
      <c r="C10" s="24" t="s">
        <v>1302</v>
      </c>
      <c r="D10" s="22" t="s">
        <v>1303</v>
      </c>
      <c r="E10" s="13" t="s">
        <v>1304</v>
      </c>
      <c r="F10" s="13">
        <v>5</v>
      </c>
      <c r="G10" s="13">
        <v>5</v>
      </c>
      <c r="H10" s="13"/>
      <c r="I10" s="16"/>
      <c r="J10" s="16">
        <v>6.5</v>
      </c>
      <c r="K10" s="16">
        <v>5</v>
      </c>
      <c r="L10" s="18">
        <f t="shared" si="0"/>
        <v>5.4</v>
      </c>
      <c r="M10" s="16" t="s">
        <v>274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2304932252</v>
      </c>
      <c r="C11" s="24" t="s">
        <v>568</v>
      </c>
      <c r="D11" s="22" t="s">
        <v>1305</v>
      </c>
      <c r="E11" s="13" t="s">
        <v>908</v>
      </c>
      <c r="F11" s="13">
        <v>5</v>
      </c>
      <c r="G11" s="13">
        <v>8.5</v>
      </c>
      <c r="H11" s="13"/>
      <c r="I11" s="16"/>
      <c r="J11" s="16">
        <v>8</v>
      </c>
      <c r="K11" s="16">
        <v>5</v>
      </c>
      <c r="L11" s="18">
        <f t="shared" si="0"/>
        <v>6.4</v>
      </c>
      <c r="M11" s="16" t="s">
        <v>274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2304932255</v>
      </c>
      <c r="C12" s="25" t="s">
        <v>1306</v>
      </c>
      <c r="D12" s="23" t="s">
        <v>175</v>
      </c>
      <c r="E12" s="15" t="s">
        <v>1307</v>
      </c>
      <c r="F12" s="15">
        <v>7</v>
      </c>
      <c r="G12" s="15">
        <v>8</v>
      </c>
      <c r="H12" s="15"/>
      <c r="I12" s="17"/>
      <c r="J12" s="17">
        <v>7.5</v>
      </c>
      <c r="K12" s="17">
        <v>6</v>
      </c>
      <c r="L12" s="19">
        <f t="shared" si="0"/>
        <v>6.9</v>
      </c>
      <c r="M12" s="17" t="s">
        <v>42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2304191185</v>
      </c>
      <c r="C13" s="24" t="s">
        <v>1141</v>
      </c>
      <c r="D13" s="22" t="s">
        <v>1308</v>
      </c>
      <c r="E13" s="13" t="s">
        <v>958</v>
      </c>
      <c r="F13" s="13">
        <v>10</v>
      </c>
      <c r="G13" s="13">
        <v>10</v>
      </c>
      <c r="H13" s="13"/>
      <c r="I13" s="16"/>
      <c r="J13" s="16">
        <v>10</v>
      </c>
      <c r="K13" s="16">
        <v>7</v>
      </c>
      <c r="L13" s="18">
        <f t="shared" si="0"/>
        <v>8.6999999999999993</v>
      </c>
      <c r="M13" s="16" t="s">
        <v>22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2304932256</v>
      </c>
      <c r="C14" s="24" t="s">
        <v>1309</v>
      </c>
      <c r="D14" s="22" t="s">
        <v>50</v>
      </c>
      <c r="E14" s="13" t="s">
        <v>1310</v>
      </c>
      <c r="F14" s="13">
        <v>8</v>
      </c>
      <c r="G14" s="13">
        <v>0</v>
      </c>
      <c r="H14" s="13"/>
      <c r="I14" s="16"/>
      <c r="J14" s="16">
        <v>7</v>
      </c>
      <c r="K14" s="16">
        <v>5</v>
      </c>
      <c r="L14" s="18">
        <f t="shared" si="0"/>
        <v>5.3</v>
      </c>
      <c r="M14" s="16" t="s">
        <v>22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2306004228</v>
      </c>
      <c r="C15" s="24" t="s">
        <v>1311</v>
      </c>
      <c r="D15" s="22" t="s">
        <v>468</v>
      </c>
      <c r="E15" s="13" t="s">
        <v>1312</v>
      </c>
      <c r="F15" s="13">
        <v>7</v>
      </c>
      <c r="G15" s="13">
        <v>9.5</v>
      </c>
      <c r="H15" s="13"/>
      <c r="I15" s="16"/>
      <c r="J15" s="16">
        <v>7.5</v>
      </c>
      <c r="K15" s="16">
        <v>7</v>
      </c>
      <c r="L15" s="18">
        <f t="shared" si="0"/>
        <v>7.5</v>
      </c>
      <c r="M15" s="16" t="s">
        <v>33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2304932257</v>
      </c>
      <c r="C16" s="24" t="s">
        <v>582</v>
      </c>
      <c r="D16" s="22" t="s">
        <v>784</v>
      </c>
      <c r="E16" s="13" t="s">
        <v>1193</v>
      </c>
      <c r="F16" s="13">
        <v>10</v>
      </c>
      <c r="G16" s="13">
        <v>8</v>
      </c>
      <c r="H16" s="13"/>
      <c r="I16" s="16"/>
      <c r="J16" s="16">
        <v>7.5</v>
      </c>
      <c r="K16" s="16">
        <v>6</v>
      </c>
      <c r="L16" s="18">
        <f t="shared" si="0"/>
        <v>7.3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2304664217</v>
      </c>
      <c r="C17" s="25" t="s">
        <v>1313</v>
      </c>
      <c r="D17" s="23" t="s">
        <v>1314</v>
      </c>
      <c r="E17" s="15" t="s">
        <v>1003</v>
      </c>
      <c r="F17" s="15">
        <v>9</v>
      </c>
      <c r="G17" s="15">
        <v>10</v>
      </c>
      <c r="H17" s="15"/>
      <c r="I17" s="17"/>
      <c r="J17" s="17">
        <v>9</v>
      </c>
      <c r="K17" s="17">
        <v>5</v>
      </c>
      <c r="L17" s="19">
        <f t="shared" si="0"/>
        <v>7.4</v>
      </c>
      <c r="M17" s="17" t="s">
        <v>22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2304664215</v>
      </c>
      <c r="C18" s="24" t="s">
        <v>1315</v>
      </c>
      <c r="D18" s="22" t="s">
        <v>190</v>
      </c>
      <c r="E18" s="13" t="s">
        <v>1099</v>
      </c>
      <c r="F18" s="13">
        <v>10</v>
      </c>
      <c r="G18" s="13">
        <v>8.5</v>
      </c>
      <c r="H18" s="13"/>
      <c r="I18" s="16"/>
      <c r="J18" s="16">
        <v>6</v>
      </c>
      <c r="K18" s="16">
        <v>5</v>
      </c>
      <c r="L18" s="18">
        <f t="shared" si="0"/>
        <v>6.5</v>
      </c>
      <c r="M18" s="16" t="s">
        <v>22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2304932258</v>
      </c>
      <c r="C19" s="24" t="s">
        <v>1316</v>
      </c>
      <c r="D19" s="22" t="s">
        <v>69</v>
      </c>
      <c r="E19" s="13" t="s">
        <v>1317</v>
      </c>
      <c r="F19" s="13">
        <v>7</v>
      </c>
      <c r="G19" s="13">
        <v>7</v>
      </c>
      <c r="H19" s="13"/>
      <c r="I19" s="16"/>
      <c r="J19" s="16">
        <v>7.5</v>
      </c>
      <c r="K19" s="16">
        <v>7</v>
      </c>
      <c r="L19" s="18">
        <f t="shared" si="0"/>
        <v>7.1</v>
      </c>
      <c r="M19" s="16" t="s">
        <v>42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2304932259</v>
      </c>
      <c r="C20" s="24" t="s">
        <v>763</v>
      </c>
      <c r="D20" s="22" t="s">
        <v>1318</v>
      </c>
      <c r="E20" s="13" t="s">
        <v>1319</v>
      </c>
      <c r="F20" s="13">
        <v>7</v>
      </c>
      <c r="G20" s="13">
        <v>10</v>
      </c>
      <c r="H20" s="13"/>
      <c r="I20" s="16"/>
      <c r="J20" s="16">
        <v>7</v>
      </c>
      <c r="K20" s="16">
        <v>6</v>
      </c>
      <c r="L20" s="18">
        <f t="shared" si="0"/>
        <v>7</v>
      </c>
      <c r="M20" s="16" t="s">
        <v>42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2304932261</v>
      </c>
      <c r="C21" s="24" t="s">
        <v>1320</v>
      </c>
      <c r="D21" s="22" t="s">
        <v>1276</v>
      </c>
      <c r="E21" s="13" t="s">
        <v>1310</v>
      </c>
      <c r="F21" s="13">
        <v>10</v>
      </c>
      <c r="G21" s="13">
        <v>9.5</v>
      </c>
      <c r="H21" s="13"/>
      <c r="I21" s="16"/>
      <c r="J21" s="16">
        <v>9.5</v>
      </c>
      <c r="K21" s="16">
        <v>7.5</v>
      </c>
      <c r="L21" s="18">
        <f t="shared" si="0"/>
        <v>8.6999999999999993</v>
      </c>
      <c r="M21" s="16" t="s">
        <v>22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2304932262</v>
      </c>
      <c r="C22" s="25" t="s">
        <v>1321</v>
      </c>
      <c r="D22" s="23" t="s">
        <v>1322</v>
      </c>
      <c r="E22" s="15" t="s">
        <v>925</v>
      </c>
      <c r="F22" s="15">
        <v>9</v>
      </c>
      <c r="G22" s="15">
        <v>6</v>
      </c>
      <c r="H22" s="15"/>
      <c r="I22" s="17"/>
      <c r="J22" s="17">
        <v>9</v>
      </c>
      <c r="K22" s="17">
        <v>7.5</v>
      </c>
      <c r="L22" s="19">
        <f t="shared" si="0"/>
        <v>7.9</v>
      </c>
      <c r="M22" s="17" t="s">
        <v>22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2304932263</v>
      </c>
      <c r="C23" s="24" t="s">
        <v>1323</v>
      </c>
      <c r="D23" s="22" t="s">
        <v>305</v>
      </c>
      <c r="E23" s="13" t="s">
        <v>1189</v>
      </c>
      <c r="F23" s="13">
        <v>5</v>
      </c>
      <c r="G23" s="13">
        <v>8</v>
      </c>
      <c r="H23" s="13"/>
      <c r="I23" s="16"/>
      <c r="J23" s="16">
        <v>7.5</v>
      </c>
      <c r="K23" s="16">
        <v>5.5</v>
      </c>
      <c r="L23" s="18">
        <f t="shared" si="0"/>
        <v>6.4</v>
      </c>
      <c r="M23" s="16" t="s">
        <v>460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2304932267</v>
      </c>
      <c r="C24" s="24" t="s">
        <v>678</v>
      </c>
      <c r="D24" s="22" t="s">
        <v>78</v>
      </c>
      <c r="E24" s="13" t="s">
        <v>1109</v>
      </c>
      <c r="F24" s="13">
        <v>5</v>
      </c>
      <c r="G24" s="13">
        <v>5</v>
      </c>
      <c r="H24" s="13"/>
      <c r="I24" s="16"/>
      <c r="J24" s="16">
        <v>9</v>
      </c>
      <c r="K24" s="16">
        <v>5</v>
      </c>
      <c r="L24" s="18">
        <f t="shared" si="0"/>
        <v>6.1</v>
      </c>
      <c r="M24" s="16" t="s">
        <v>274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2304932265</v>
      </c>
      <c r="C25" s="24" t="s">
        <v>77</v>
      </c>
      <c r="D25" s="22" t="s">
        <v>78</v>
      </c>
      <c r="E25" s="13" t="s">
        <v>1324</v>
      </c>
      <c r="F25" s="13">
        <v>9</v>
      </c>
      <c r="G25" s="13">
        <v>8.5</v>
      </c>
      <c r="H25" s="13"/>
      <c r="I25" s="16"/>
      <c r="J25" s="16">
        <v>9.5</v>
      </c>
      <c r="K25" s="16">
        <v>6</v>
      </c>
      <c r="L25" s="18">
        <f t="shared" si="0"/>
        <v>7.8</v>
      </c>
      <c r="M25" s="16" t="s">
        <v>22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2203855343</v>
      </c>
      <c r="C26" s="24" t="s">
        <v>68</v>
      </c>
      <c r="D26" s="22" t="s">
        <v>203</v>
      </c>
      <c r="E26" s="13" t="s">
        <v>1325</v>
      </c>
      <c r="F26" s="13">
        <v>6</v>
      </c>
      <c r="G26" s="13">
        <v>6</v>
      </c>
      <c r="H26" s="13"/>
      <c r="I26" s="16"/>
      <c r="J26" s="16">
        <v>8</v>
      </c>
      <c r="K26" s="16">
        <v>1</v>
      </c>
      <c r="L26" s="18">
        <f t="shared" si="0"/>
        <v>4.4000000000000004</v>
      </c>
      <c r="M26" s="16" t="s">
        <v>33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2304932268</v>
      </c>
      <c r="C27" s="25" t="s">
        <v>1326</v>
      </c>
      <c r="D27" s="23" t="s">
        <v>84</v>
      </c>
      <c r="E27" s="15" t="s">
        <v>1310</v>
      </c>
      <c r="F27" s="15">
        <v>5</v>
      </c>
      <c r="G27" s="15">
        <v>10</v>
      </c>
      <c r="H27" s="15"/>
      <c r="I27" s="17"/>
      <c r="J27" s="17">
        <v>7</v>
      </c>
      <c r="K27" s="17">
        <v>5.5</v>
      </c>
      <c r="L27" s="19">
        <f t="shared" si="0"/>
        <v>6.5</v>
      </c>
      <c r="M27" s="17" t="s">
        <v>274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2304664189</v>
      </c>
      <c r="C28" s="24" t="s">
        <v>1327</v>
      </c>
      <c r="D28" s="22" t="s">
        <v>95</v>
      </c>
      <c r="E28" s="13" t="s">
        <v>1328</v>
      </c>
      <c r="F28" s="13">
        <v>5</v>
      </c>
      <c r="G28" s="13">
        <v>5</v>
      </c>
      <c r="H28" s="13"/>
      <c r="I28" s="16"/>
      <c r="J28" s="16">
        <v>7</v>
      </c>
      <c r="K28" s="16">
        <v>6.5</v>
      </c>
      <c r="L28" s="18">
        <f t="shared" si="0"/>
        <v>6.2</v>
      </c>
      <c r="M28" s="16" t="s">
        <v>274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2304932272</v>
      </c>
      <c r="C29" s="24" t="s">
        <v>1329</v>
      </c>
      <c r="D29" s="22" t="s">
        <v>98</v>
      </c>
      <c r="E29" s="13" t="s">
        <v>959</v>
      </c>
      <c r="F29" s="13">
        <v>5</v>
      </c>
      <c r="G29" s="13">
        <v>7.5</v>
      </c>
      <c r="H29" s="13"/>
      <c r="I29" s="16"/>
      <c r="J29" s="16">
        <v>6.5</v>
      </c>
      <c r="K29" s="16">
        <v>7.5</v>
      </c>
      <c r="L29" s="18">
        <f t="shared" si="0"/>
        <v>6.9</v>
      </c>
      <c r="M29" s="16" t="s">
        <v>274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2304664190</v>
      </c>
      <c r="C30" s="24" t="s">
        <v>940</v>
      </c>
      <c r="D30" s="22" t="s">
        <v>103</v>
      </c>
      <c r="E30" s="13" t="s">
        <v>1265</v>
      </c>
      <c r="F30" s="13">
        <v>7</v>
      </c>
      <c r="G30" s="13">
        <v>8.5</v>
      </c>
      <c r="H30" s="13"/>
      <c r="I30" s="16"/>
      <c r="J30" s="16">
        <v>8.5</v>
      </c>
      <c r="K30" s="16">
        <v>8</v>
      </c>
      <c r="L30" s="18">
        <f t="shared" si="0"/>
        <v>8.1</v>
      </c>
      <c r="M30" s="16" t="s">
        <v>42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2304932269</v>
      </c>
      <c r="C31" s="24" t="s">
        <v>1330</v>
      </c>
      <c r="D31" s="22" t="s">
        <v>108</v>
      </c>
      <c r="E31" s="13" t="s">
        <v>1283</v>
      </c>
      <c r="F31" s="13">
        <v>7</v>
      </c>
      <c r="G31" s="13">
        <v>6</v>
      </c>
      <c r="H31" s="13"/>
      <c r="I31" s="16"/>
      <c r="J31" s="16">
        <v>10</v>
      </c>
      <c r="K31" s="16">
        <v>10</v>
      </c>
      <c r="L31" s="18">
        <f t="shared" si="0"/>
        <v>9</v>
      </c>
      <c r="M31" s="16" t="s">
        <v>42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2304932274</v>
      </c>
      <c r="C32" s="25" t="s">
        <v>1141</v>
      </c>
      <c r="D32" s="23" t="s">
        <v>111</v>
      </c>
      <c r="E32" s="15" t="s">
        <v>1331</v>
      </c>
      <c r="F32" s="15">
        <v>9</v>
      </c>
      <c r="G32" s="15">
        <v>8.5</v>
      </c>
      <c r="H32" s="15"/>
      <c r="I32" s="17"/>
      <c r="J32" s="17">
        <v>8</v>
      </c>
      <c r="K32" s="17">
        <v>6</v>
      </c>
      <c r="L32" s="19">
        <f t="shared" si="0"/>
        <v>7.4</v>
      </c>
      <c r="M32" s="17" t="s">
        <v>33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2304932275</v>
      </c>
      <c r="C33" s="24" t="s">
        <v>1332</v>
      </c>
      <c r="D33" s="22" t="s">
        <v>1042</v>
      </c>
      <c r="E33" s="13" t="s">
        <v>1333</v>
      </c>
      <c r="F33" s="13">
        <v>8</v>
      </c>
      <c r="G33" s="13">
        <v>8</v>
      </c>
      <c r="H33" s="13"/>
      <c r="I33" s="16"/>
      <c r="J33" s="16">
        <v>9.5</v>
      </c>
      <c r="K33" s="16">
        <v>8</v>
      </c>
      <c r="L33" s="18">
        <f t="shared" si="0"/>
        <v>8.4</v>
      </c>
      <c r="M33" s="16" t="s">
        <v>22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2304932276</v>
      </c>
      <c r="C34" s="24" t="s">
        <v>1334</v>
      </c>
      <c r="D34" s="22" t="s">
        <v>501</v>
      </c>
      <c r="E34" s="13" t="s">
        <v>1119</v>
      </c>
      <c r="F34" s="13">
        <v>8</v>
      </c>
      <c r="G34" s="13">
        <v>7.5</v>
      </c>
      <c r="H34" s="13"/>
      <c r="I34" s="16"/>
      <c r="J34" s="16">
        <v>7</v>
      </c>
      <c r="K34" s="16">
        <v>6.5</v>
      </c>
      <c r="L34" s="18">
        <f t="shared" si="0"/>
        <v>7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2304932277</v>
      </c>
      <c r="C35" s="24" t="s">
        <v>1335</v>
      </c>
      <c r="D35" s="22" t="s">
        <v>665</v>
      </c>
      <c r="E35" s="13" t="s">
        <v>1240</v>
      </c>
      <c r="F35" s="13">
        <v>5</v>
      </c>
      <c r="G35" s="13">
        <v>8.5</v>
      </c>
      <c r="H35" s="13"/>
      <c r="I35" s="16"/>
      <c r="J35" s="16">
        <v>9</v>
      </c>
      <c r="K35" s="16">
        <v>7</v>
      </c>
      <c r="L35" s="18">
        <f t="shared" si="0"/>
        <v>7.5</v>
      </c>
      <c r="M35" s="16" t="s">
        <v>33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2304932280</v>
      </c>
      <c r="C36" s="24" t="s">
        <v>1259</v>
      </c>
      <c r="D36" s="22" t="s">
        <v>752</v>
      </c>
      <c r="E36" s="13" t="s">
        <v>1109</v>
      </c>
      <c r="F36" s="13">
        <v>9</v>
      </c>
      <c r="G36" s="13">
        <v>9.5</v>
      </c>
      <c r="H36" s="13"/>
      <c r="I36" s="16"/>
      <c r="J36" s="16">
        <v>8.5</v>
      </c>
      <c r="K36" s="16">
        <v>5.5</v>
      </c>
      <c r="L36" s="18">
        <f t="shared" si="0"/>
        <v>7.4</v>
      </c>
      <c r="M36" s="16" t="s">
        <v>22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2304932281</v>
      </c>
      <c r="C37" s="25" t="s">
        <v>1336</v>
      </c>
      <c r="D37" s="23" t="s">
        <v>671</v>
      </c>
      <c r="E37" s="15" t="s">
        <v>1337</v>
      </c>
      <c r="F37" s="15">
        <v>5</v>
      </c>
      <c r="G37" s="15">
        <v>5</v>
      </c>
      <c r="H37" s="15"/>
      <c r="I37" s="17"/>
      <c r="J37" s="17">
        <v>7</v>
      </c>
      <c r="K37" s="17">
        <v>5</v>
      </c>
      <c r="L37" s="19">
        <f t="shared" si="0"/>
        <v>5.6</v>
      </c>
      <c r="M37" s="17" t="s">
        <v>274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2304932285</v>
      </c>
      <c r="C38" s="24" t="s">
        <v>1338</v>
      </c>
      <c r="D38" s="22" t="s">
        <v>1339</v>
      </c>
      <c r="E38" s="13" t="s">
        <v>1033</v>
      </c>
      <c r="F38" s="13">
        <v>6</v>
      </c>
      <c r="G38" s="13">
        <v>9</v>
      </c>
      <c r="H38" s="13"/>
      <c r="I38" s="16"/>
      <c r="J38" s="16">
        <v>9.5</v>
      </c>
      <c r="K38" s="16">
        <v>6</v>
      </c>
      <c r="L38" s="18">
        <f t="shared" si="0"/>
        <v>7.4</v>
      </c>
      <c r="M38" s="16" t="s">
        <v>33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2304932282</v>
      </c>
      <c r="C39" s="24" t="s">
        <v>1340</v>
      </c>
      <c r="D39" s="22" t="s">
        <v>342</v>
      </c>
      <c r="E39" s="13" t="s">
        <v>785</v>
      </c>
      <c r="F39" s="13">
        <v>5</v>
      </c>
      <c r="G39" s="13">
        <v>8.5</v>
      </c>
      <c r="H39" s="13"/>
      <c r="I39" s="16"/>
      <c r="J39" s="16">
        <v>9</v>
      </c>
      <c r="K39" s="16">
        <v>5</v>
      </c>
      <c r="L39" s="18">
        <f t="shared" si="0"/>
        <v>6.6</v>
      </c>
      <c r="M39" s="16" t="s">
        <v>33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2304932287</v>
      </c>
      <c r="C40" s="24" t="s">
        <v>743</v>
      </c>
      <c r="D40" s="22" t="s">
        <v>1341</v>
      </c>
      <c r="E40" s="13" t="s">
        <v>1342</v>
      </c>
      <c r="F40" s="13">
        <v>6</v>
      </c>
      <c r="G40" s="13">
        <v>5</v>
      </c>
      <c r="H40" s="13"/>
      <c r="I40" s="16"/>
      <c r="J40" s="16">
        <v>6.5</v>
      </c>
      <c r="K40" s="16">
        <v>5</v>
      </c>
      <c r="L40" s="18">
        <f t="shared" si="0"/>
        <v>5.6</v>
      </c>
      <c r="M40" s="16" t="s">
        <v>33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2304932288</v>
      </c>
      <c r="C41" s="24" t="s">
        <v>1343</v>
      </c>
      <c r="D41" s="22" t="s">
        <v>241</v>
      </c>
      <c r="E41" s="13" t="s">
        <v>995</v>
      </c>
      <c r="F41" s="13">
        <v>6</v>
      </c>
      <c r="G41" s="13">
        <v>5</v>
      </c>
      <c r="H41" s="13"/>
      <c r="I41" s="16"/>
      <c r="J41" s="16">
        <v>9</v>
      </c>
      <c r="K41" s="16">
        <v>5</v>
      </c>
      <c r="L41" s="18">
        <f t="shared" si="0"/>
        <v>6.3</v>
      </c>
      <c r="M41" s="16" t="s">
        <v>274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2304932278</v>
      </c>
      <c r="C42" s="25" t="s">
        <v>1344</v>
      </c>
      <c r="D42" s="23" t="s">
        <v>133</v>
      </c>
      <c r="E42" s="15" t="s">
        <v>1246</v>
      </c>
      <c r="F42" s="15">
        <v>7</v>
      </c>
      <c r="G42" s="15">
        <v>8.5</v>
      </c>
      <c r="H42" s="15"/>
      <c r="I42" s="17"/>
      <c r="J42" s="17">
        <v>8</v>
      </c>
      <c r="K42" s="17">
        <v>7.5</v>
      </c>
      <c r="L42" s="19">
        <f t="shared" si="0"/>
        <v>7.7</v>
      </c>
      <c r="M42" s="17" t="s">
        <v>42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2304932279</v>
      </c>
      <c r="C43" s="24" t="s">
        <v>382</v>
      </c>
      <c r="D43" s="22" t="s">
        <v>133</v>
      </c>
      <c r="E43" s="13" t="s">
        <v>806</v>
      </c>
      <c r="F43" s="13">
        <v>5</v>
      </c>
      <c r="G43" s="13">
        <v>9.5</v>
      </c>
      <c r="H43" s="13"/>
      <c r="I43" s="16"/>
      <c r="J43" s="16">
        <v>9</v>
      </c>
      <c r="K43" s="16">
        <v>7</v>
      </c>
      <c r="L43" s="18">
        <f t="shared" si="0"/>
        <v>7.6</v>
      </c>
      <c r="M43" s="16" t="s">
        <v>33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2304932292</v>
      </c>
      <c r="C44" s="24" t="s">
        <v>1345</v>
      </c>
      <c r="D44" s="22" t="s">
        <v>258</v>
      </c>
      <c r="E44" s="13" t="s">
        <v>1346</v>
      </c>
      <c r="F44" s="13">
        <v>5</v>
      </c>
      <c r="G44" s="13">
        <v>5</v>
      </c>
      <c r="H44" s="13"/>
      <c r="I44" s="16"/>
      <c r="J44" s="16">
        <v>6.5</v>
      </c>
      <c r="K44" s="16">
        <v>6</v>
      </c>
      <c r="L44" s="18">
        <f t="shared" si="0"/>
        <v>5.9</v>
      </c>
      <c r="M44" s="16" t="s">
        <v>274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2304932293</v>
      </c>
      <c r="C45" s="24" t="s">
        <v>1302</v>
      </c>
      <c r="D45" s="22" t="s">
        <v>258</v>
      </c>
      <c r="E45" s="13" t="s">
        <v>1347</v>
      </c>
      <c r="F45" s="13">
        <v>7</v>
      </c>
      <c r="G45" s="13">
        <v>9</v>
      </c>
      <c r="H45" s="13"/>
      <c r="I45" s="16"/>
      <c r="J45" s="16">
        <v>7.5</v>
      </c>
      <c r="K45" s="16">
        <v>5.5</v>
      </c>
      <c r="L45" s="18">
        <f t="shared" si="0"/>
        <v>6.8</v>
      </c>
      <c r="M45" s="16" t="s">
        <v>42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1">
        <v>39</v>
      </c>
      <c r="B46" s="15">
        <v>2304932294</v>
      </c>
      <c r="C46" s="25" t="s">
        <v>1348</v>
      </c>
      <c r="D46" s="23" t="s">
        <v>139</v>
      </c>
      <c r="E46" s="15" t="s">
        <v>1349</v>
      </c>
      <c r="F46" s="15">
        <v>5</v>
      </c>
      <c r="G46" s="15">
        <v>7.5</v>
      </c>
      <c r="H46" s="15"/>
      <c r="I46" s="17"/>
      <c r="J46" s="17">
        <v>8.5</v>
      </c>
      <c r="K46" s="17">
        <v>5</v>
      </c>
      <c r="L46" s="19">
        <f t="shared" si="0"/>
        <v>6.4</v>
      </c>
      <c r="M46" s="17" t="s">
        <v>274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39" t="s">
        <v>141</v>
      </c>
      <c r="B47" s="40"/>
      <c r="C47" s="41"/>
      <c r="D47" s="41"/>
      <c r="E47" s="41"/>
      <c r="F47" s="40"/>
      <c r="G47" s="40"/>
      <c r="H47" s="40"/>
      <c r="I47" s="40"/>
      <c r="J47" s="42"/>
      <c r="K47" s="8"/>
      <c r="L47" s="9"/>
      <c r="M47" s="10"/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43"/>
      <c r="B48" s="33"/>
      <c r="C48" s="44"/>
      <c r="D48" s="45"/>
      <c r="E48" s="45"/>
      <c r="F48" s="46"/>
      <c r="G48" s="46"/>
      <c r="H48" s="46"/>
      <c r="I48" s="46"/>
      <c r="J48" s="47"/>
    </row>
    <row r="49" spans="1:17" ht="12.75" customHeight="1" x14ac:dyDescent="0.35">
      <c r="A49" s="48" t="s">
        <v>142</v>
      </c>
      <c r="B49" s="33"/>
      <c r="C49" s="44"/>
      <c r="D49" s="45" t="s">
        <v>143</v>
      </c>
      <c r="E49" s="45"/>
      <c r="F49" s="46" t="str">
        <f>TEXT(COUNTIF(L8:L46,"&gt;="&amp;Q49),"#0")</f>
        <v>6</v>
      </c>
      <c r="G49" s="46"/>
      <c r="H49" s="31" t="s">
        <v>144</v>
      </c>
      <c r="I49" s="46" t="str">
        <f>ROUND(F49/IF(COUNTIF(L8:L46,"&gt;=0")=0,1,COUNTIF(L8:L46,"&gt;=0")),4)*100&amp;"%"</f>
        <v>15.38%</v>
      </c>
      <c r="J49" s="47"/>
      <c r="Q49" s="26">
        <v>7.95</v>
      </c>
    </row>
    <row r="50" spans="1:17" ht="12.75" customHeight="1" x14ac:dyDescent="0.35">
      <c r="A50" s="43" t="s">
        <v>145</v>
      </c>
      <c r="B50" s="33"/>
      <c r="C50" s="44"/>
      <c r="D50" s="45" t="s">
        <v>146</v>
      </c>
      <c r="E50" s="45"/>
      <c r="F50" s="46" t="str">
        <f>TEXT(COUNTIF(L8:L46,"&gt;="&amp;Q50)-F49,"#0")</f>
        <v>21</v>
      </c>
      <c r="G50" s="46"/>
      <c r="H50" s="31" t="s">
        <v>144</v>
      </c>
      <c r="I50" s="46" t="str">
        <f>ROUND(F50/IF(COUNTIF(L8:L46,"&gt;=0")=0,1,COUNTIF(L8:L46,"&gt;=0")),4)*100&amp;"%"</f>
        <v>53.85%</v>
      </c>
      <c r="J50" s="47"/>
      <c r="Q50" s="26">
        <v>6.45</v>
      </c>
    </row>
    <row r="51" spans="1:17" ht="12.75" customHeight="1" x14ac:dyDescent="0.35">
      <c r="A51" s="27"/>
      <c r="D51" s="45" t="s">
        <v>147</v>
      </c>
      <c r="E51" s="45"/>
      <c r="F51" s="46" t="str">
        <f>TEXT(COUNTIF(L8:L46,"&gt;="&amp;Q51)-F50-F49,"#0")</f>
        <v>11</v>
      </c>
      <c r="G51" s="46"/>
      <c r="H51" s="31" t="s">
        <v>144</v>
      </c>
      <c r="I51" s="46" t="str">
        <f>ROUND(F51/IF(COUNTIF(L8:L46,"&gt;=0")=0,1,COUNTIF(L8:L46,"&gt;=0")),4)*100&amp;"%"</f>
        <v>28.21%</v>
      </c>
      <c r="J51" s="47"/>
      <c r="Q51" s="26">
        <v>4.95</v>
      </c>
    </row>
    <row r="52" spans="1:17" ht="12.75" customHeight="1" x14ac:dyDescent="0.35">
      <c r="A52" s="28"/>
      <c r="B52" s="29"/>
      <c r="C52" s="30"/>
      <c r="D52" s="49" t="s">
        <v>148</v>
      </c>
      <c r="E52" s="49"/>
      <c r="F52" s="50" t="str">
        <f>TEXT(COUNTIF(L8:L46,"&gt;=0")-F48-F49-F50-F51,"#0")</f>
        <v>1</v>
      </c>
      <c r="G52" s="50"/>
      <c r="H52" s="32" t="s">
        <v>144</v>
      </c>
      <c r="I52" s="50" t="str">
        <f>ROUND(F52/IF(COUNTIF(L8:L46,"&gt;=0")=0,1,COUNTIF(L8:L46,"&gt;=0")),4)*100&amp;"%"</f>
        <v>2.56%</v>
      </c>
      <c r="J52" s="51"/>
    </row>
    <row r="65536" ht="14.5" x14ac:dyDescent="0.35"/>
  </sheetData>
  <mergeCells count="32">
    <mergeCell ref="D51:E51"/>
    <mergeCell ref="F51:G51"/>
    <mergeCell ref="I51:J51"/>
    <mergeCell ref="D52:E52"/>
    <mergeCell ref="F52:G52"/>
    <mergeCell ref="I52:J52"/>
    <mergeCell ref="A47:J48"/>
    <mergeCell ref="A49:C49"/>
    <mergeCell ref="D49:E49"/>
    <mergeCell ref="F49:G49"/>
    <mergeCell ref="I49:J49"/>
    <mergeCell ref="A50:C50"/>
    <mergeCell ref="D50:E50"/>
    <mergeCell ref="F50:G50"/>
    <mergeCell ref="I50:J50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36">
    <dataValidation type="list" allowBlank="1" showInputMessage="1" showErrorMessage="1" errorTitle="Thông báo" error="Bạn phải nhập [Đạt] = d, Đ, đ, 1   [Chưa đạt] = c, CĐ, cđ, 2" sqref="C5" xr:uid="{56A34613-2548-42C7-8051-80703DAD62C4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A5029CB1-B43B-4D7D-85D2-E785B662787F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85AA17DD-D65B-4C08-BE0C-6786B693B8D6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FF839846-2738-4A7D-9A1B-B47A4FE52C75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F41D4690-C878-424A-A7AE-BF7B8A02D0F5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416AD31C-0067-45EE-971B-127711BA7622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8A5AA148-759B-4C6C-83CA-4633A15328AD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03E79D9F-7173-4C89-961A-AED0BABFBB7D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C0890FD7-F754-4BB2-BAA4-4D988782FB35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6AD46C78-C057-4EAB-BB3E-B33B1217D979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C0C18413-2195-47EA-9ABD-332556ADCB39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BB6ADD2A-A87C-417B-8720-495401051477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B0628881-9CC6-4C32-894B-9C8A3DE80FF7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6BF59820-CEFF-4EE0-A2F7-E3C693F71422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3B229FF8-448B-426A-A51C-EF7B3E0A91E5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0DB92AD3-F9D3-4189-9D69-397689F25C3D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2D63202A-D734-4462-A721-86709F8B7012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2DC3CB56-E8A9-43A2-B99F-917DB7ED3B3E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C3AAC654-78EA-40EA-8E7E-7560E24891D9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B169E701-C67D-4CC3-94A1-095EF4650BBA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D85AD037-DA72-4F49-ACEC-0E44B33ED79F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BC3C963D-B9C5-4CFC-A662-776EB4AC26E6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73190D0C-CF4B-40CE-8A16-6D2014BE5C7D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2270D2BE-5F65-43EB-B7AA-827DA21018D9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8AFFBA8A-9E96-425C-A4E2-706F0BB0A416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ADC448E0-0864-48B7-B89F-D6F2BE3D2D07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B7187D8E-274D-4D97-9D57-95045AA425B9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A1D37ED4-E43D-41CC-8A27-8747B64F2354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AB2A5E8E-BD5F-41A2-9FB6-3D47CE738B0D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1750E5D1-C033-48EB-AE94-503D2414161C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C7EA0F40-D45C-4F00-86E7-398BF1655549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FF2D8696-208A-4BAD-A8E8-B8AF79FC14CC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15E83CDD-20BB-4457-92BD-8A7F6D2990D4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22F88D4D-9113-4B5D-8588-886D6B439E42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063AA5E4-CC4F-4DBD-B679-A9A653757F1D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44687553-F2DE-42E6-BFDB-21BC9858DCE0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2B977A00-D24B-420C-818A-FBBE15C88807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02B61378-A1D2-47D5-A7D9-91D303EAD058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93856991-F9E0-472C-8D50-CF3D1F23539A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16979AF2-BB56-45B0-96F4-47C7440A8675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80C717BF-1FBD-4E75-B38C-00E34B0C45F5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6C51BEB0-B4C4-41F1-9121-D82D27C08EB1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7E7C20B5-9C2D-4D4A-8084-072A4953818D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51E55014-EE4F-4EAB-A3BB-988711CB8010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93E0E8E2-6961-4DFD-94DE-C817BF047E4E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57B78EDA-B703-4392-9AE0-BCF5BBBF1892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2B47ED11-0E11-4943-8071-CC80620A959F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F7E8C67A-96FD-4488-9A3A-77F8010FDE23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90B358DC-B590-45BA-B9DE-C4761FB781F2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E96688B0-61E4-4D0A-9408-A87FB96F98E0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56DA9CEE-386C-44A1-A120-685357C7B8AD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00B46919-2AEB-4B48-884C-71E8BE6BDDDD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AFBBE4AB-1BA1-495F-899A-F86DF36AD9F1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2C4B76C1-1BA0-4571-A4B9-37F70522F77A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130BBAD2-CFEC-4C4C-9781-D78EB655EBDB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E38E6DA7-CD79-4920-901F-E58CDA6EBF87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C00DB7F1-559F-4290-B5D4-607E0EA9DED7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34BECDC0-9570-4969-81FB-F60F01130943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AA3D7B9D-E30E-4D9E-8187-6DD230C6C5B5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957E54AE-EE83-446F-8290-B7EA61099F5F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9670107C-28EB-4865-A441-83B87DDECEAA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7D5A7E22-9B51-495D-9B68-56EF2A6D092A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9682F2B0-BE64-4B2F-A7F0-65FF2F3DCD68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F061BACA-B072-4F89-8686-3CEA4F21D212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8EBBF189-BFA4-4E0D-9BEA-2443AA0B8C95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89084107-A524-4384-AE44-2726809C5FFF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85E0015C-2F7E-4FA8-86A3-30922946B1AA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5E8823AD-66CB-4077-85BB-8D371C0E3D09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2602BE88-AE3D-45D5-A99F-27E31D7F26D5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08A0BE2A-F9B0-41ED-99A3-1DE2DE57DCE0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B2ED34B2-920B-40FB-848E-917A2A23E095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C98FF482-E149-4AA6-9F3A-AC0AE544A4F2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F2EFB75F-B1E4-43CE-A196-74688B044979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E6FD7D78-DCCF-423F-8D66-063B36A19FBC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B10A677A-E719-4A51-A1CC-7A7A48161684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41131185-40A9-4040-BEAE-F148A9E8B0D0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F837A5D7-D702-4E76-931B-2D5EEE6B633B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1966385B-7F7F-4D0C-88C8-354BB1E465DB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8E1C5C96-52E7-4484-B0B3-0313E5E8C31A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5CA2D648-068B-4BFA-AFFC-EF461D70C7F3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01B9B376-78F3-4DA2-BD0A-8B20766DBA65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A7D456B2-AFAE-4C8B-B6DE-48A2633F87B4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A9AAC706-E34C-4832-96A5-D047110A7B47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4D3F77E9-7DEC-4B55-9BF4-E7902FBFD97A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0CE565C1-527D-4902-87E8-CCFF6BC684F3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D9E842AF-3605-432C-89DF-706530E6ED50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57FA7E9D-94BE-499E-84B9-D5F544FE52A7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2523F3B3-E07D-49AA-BF6A-35EDEED90C17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C632357C-BF3B-4851-916D-C54AD0DF3DE5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CF1E2BBD-3C66-495E-830F-86A32239CA41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AA9A289E-C7F3-48D3-B4ED-8DDB8955000B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B5BF4E30-A2F8-484C-B3C8-347124C7279D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AE2A00B5-CC01-460D-B90B-DF66D3AEA03D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B3DD67E0-22E9-411B-823E-39647327F62A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F6B3AB48-13CC-47A7-8438-1AAFF04B3F51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6223BDDD-CF40-4D5E-91DE-B57EB67378D9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2BA83866-28EB-44C2-8218-20F63342573F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0D5F66AE-9165-43FA-BD73-4CE220BDCFC9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8CBA7557-A951-4A30-991E-42C8C23B8B29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2061F7DB-546E-44E2-BF0A-6BBC4028F5A9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FE66A670-5485-472D-8272-29E63B67E00E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C29FA099-FC35-43F3-B541-2EEE43C689EA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F6C33489-6D20-4989-890B-56BB9C09EAF2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6EC29D5C-332B-42A3-9AB9-49969B4F1477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05F982EF-7B99-4A9E-A900-5EFB371D5E3E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D3CE7731-39A8-4CBB-BFDA-DB32323210F2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828B808F-0C56-43C9-96E8-47F39343ED68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92389AA5-7F17-4E68-A152-58859E384414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4A70C303-54F2-47F8-827B-BC83FB8D2587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F2A331B4-69F3-453D-9CEC-9A1FC6774662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D25F4C1D-18E7-4582-A5E6-C6725B16D174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D74986CC-633D-4AB5-8E9E-98A545E2CC23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4BE78DDD-ADA3-4B56-8D33-204CDA8AD19F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97DF513C-1ABE-4BC5-860B-363BB57C8B44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A8636245-3F65-4D39-BE16-6F9DE2774646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83EA202C-DA5D-45C7-82DB-DD7D2C35ACB3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01F7CD4B-2915-4F00-8D37-786447403495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F74B43E2-133B-4E3D-B093-6E4F5D4E68AB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0907E1CC-45AE-40E2-B328-993F2D53E8B3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A43FABB5-0369-4A3D-AEBF-0A2B2F7B6424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80FB0AFC-2C9A-4E03-9498-02E0F4268C85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69E527CD-B55C-4C96-866A-78D2546347BB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CA1BF695-6F13-4DEE-8DC3-4D15D5E69703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63EF0B07-C1BC-4534-8FA8-813DABB10E7E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F9628B55-7055-47D4-88B1-26CCC13890EF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735CCF60-F7B6-4069-B846-284B44F08E98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17462788-3227-4400-9C7C-06B0516F77FF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292E9717-26E6-4AB2-BF37-9C70825F2DFB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17D97B60-0EB8-4F10-A00E-7BAD9660632F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2F1329CE-64E9-4913-A6B8-02D5043332AF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9BAE2F84-EF2A-4C8B-9C4B-A6B8D378EA24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002986D3-CCA5-4D2A-B2E5-1517801B9242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05727DA9-9FF1-414F-AE47-1C1677A23E50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907A585C-CF08-4640-8765-95F4D7224D3E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BB31D100-0C51-4B5E-BCAE-FB0F5B7A6B37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47C507BB-A30C-4D57-8E56-FC10CC584E67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2FD9F202-7E4F-42F7-8A8A-9CB1A4A64A8D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E47B4B7B-ACBF-4656-B9CC-C25961E8DB1E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3D321290-BC2F-4223-A872-486E49E0F1DD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1F509AE5-F4BC-4F3D-A658-D2EB07B02EEA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69DC5251-602C-462B-900B-2C2C4D0485F5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2F90338D-0AA5-47B6-99DE-066095E8879B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2A0278A0-F07D-461D-B069-2A757D87FD55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E228B69D-6D85-4D3D-BAE4-27E3EDBBD57D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9A6E1816-1507-4383-BF92-BB34D21DCE09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1B66557C-71DA-45B1-B5B7-B52F750D0DF3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AC3196FC-9AFA-4CC4-8E36-7F639EA75680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C8D384EB-1E53-429C-BD6D-A335C611DDDD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57728415-AD0A-4CBD-B272-D6F75CB61434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DDE8581A-5FE4-46E4-BFE1-C674001450BB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F451DE2C-7278-4B9F-B96E-A23702E9F751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37280615-55D4-43C3-9077-CFAC8B7AD0DC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101DA66B-41B0-4AFB-AA1C-C027AF5A8A7A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8D8499FD-7218-4FE1-8A78-3E786BF4B945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AD7649BC-EB63-4467-91F5-DEAEFA228810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AF389B3A-654E-43FE-847A-D686B6C19864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2FD8952C-AE6F-4713-837A-4CCAB2E8C3E4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2535DB9A-56B1-437F-976C-F3C09791A344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3B26D17E-F719-461E-8116-3264DD62DE44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39CCB789-CE22-40BD-92D6-3606DB4BB1FB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61A0C65F-D163-45E8-8071-C105C1252199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E785E1C8-C920-4670-B5D0-5667CDC24915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B2C3701D-0B98-4DA2-87FF-BDE769D7F184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A6A7DA63-D20E-4BEF-839C-8A03FB6874DC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F3CEF8FE-B44A-4DD4-AFD3-6B1067F8D849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070ED3AD-29CD-452D-9CAE-5115DA20899F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6399EC18-2580-43EE-88A4-3F164C903BE8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D2F3D3FD-6634-41BA-A0FF-B75DBB54F6B2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47D93BAD-6AEB-4B95-8835-79724DEF7298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38E0E41C-AD2A-4841-A67F-4B22D7981D4B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1969DF40-BE69-40ED-97FB-373E4BF105DD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B7F4C5C0-F543-425A-A439-3622AC49718A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066D379A-605B-4897-AFFB-4BA3C25F7774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DBD245E4-39E5-4B06-A230-31B71F64D3CE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1600E1F3-2092-4756-98AD-A3FA28D40D88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33E942A9-DEF1-4701-95AD-BCF41426434D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CE7EB989-F62F-4AC7-A611-491C02503F63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902A2D2E-AE81-4BE2-A80F-DC6A0136C0BC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68AFB9C5-B28B-496B-8A63-F4D70F3C06CF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62A6FDC0-3218-4781-962C-C8419D9B916A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5CF13828-C99D-4EDC-8F13-720611AAC827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394C1367-96D7-4258-B9B7-95F7AD8DC7E3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B86CDFF3-5402-4CB7-B300-C5FB39DC1318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B3489E34-B79B-44E8-8DE9-8006C2C62880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C30A811C-672D-4582-B5EB-2849D33A1780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C144FEB6-1942-4172-B0DB-81F311797421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FE7B3B75-3A12-453F-9B4D-87BE0B01E5C0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14ADC226-525C-45CD-9AF7-C33957A4385B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C60E714D-2260-4605-BC96-3A21414C5EB4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F4528E1C-3B37-4244-ADE1-AE23916836BE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E1BD59BE-A5C3-4F1C-B85E-C975AB988208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ACFDA33C-ACE6-4FD7-A60C-774783FB1930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1545AEE8-C0A3-4889-8635-4D3EE6F29871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3A26C702-ED6B-4BF3-84EC-A9992E346EA8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49144B93-1E31-402D-811A-5B446C4CF091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A343DA38-001F-44E9-9356-8AA53FC3E6D9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D0976939-05E4-4ADE-8F09-81BE6FE706A4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35C4733B-785F-4F3E-8DB9-77F2C20D0CD7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6F7029A9-3E2B-41D7-B8FC-80A6C5F2F2CB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26504C10-3361-4B23-9A43-15612C6C08EC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2B660A68-75C4-44E4-A668-CA36128CF0F2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1082329E-5F22-44CD-AE34-364DC8542DB7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A0E2A93A-5A7E-4BCA-AEF3-3D092E9C2ADD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D7025CC7-E59E-417F-AB2E-D2C1B532139A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171DCF89-421D-4C5F-98DF-E2806CA622E3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66574EB8-4DF8-4081-8F76-DED8C93BC05F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96CF54E9-9258-4C2D-9A45-8C54B939471E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2948327C-1809-4897-A317-B9FE894E07FD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AADDE5C2-236D-4739-A7F8-044AF6D725D6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70B0617F-B13E-41D0-8B06-CCFAFD16AFD3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EDECFEA5-6975-42BF-8571-562234A56C81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94149049-4A2B-4072-BC22-FDEA06242F91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2E0D3173-1D82-4469-9D12-F29BDEAC6EDE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AE22330F-CD62-4215-A22D-EC54BBE96134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62D2805C-D2F9-4199-BD07-C6CC38095F06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91A81708-BD22-428F-A2CD-20C57A004ED4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76909AC3-2C21-40F1-B792-B587B65BFB95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9165BB37-5092-47DC-9944-B2E326CC660C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CB786142-61B4-4190-9611-0D5B2ABD1467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6257AF6A-B726-4F77-A4E6-43924F373F5D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E61EDBF0-E2D6-4D83-91C1-1765754F68AD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6817E217-F7C7-49F4-8E55-E7462937B7DA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EE6A626E-4C80-4561-82C8-9BA957F032B3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B0F21EB4-9E38-49EB-81F2-DF26C047EEA4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52E0EEDD-73BF-40F0-8873-0601D4AE3807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FBFBC6E9-D9F7-48B7-91FC-74D34541E311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5D56185D-2F2A-47FB-8F3E-AEDC0553F19C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BBC77163-5632-43FC-9376-A3EA5FF88A06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93A6C23F-BF6C-4A0B-8F47-8C8033B791AF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0E9EBC4D-B542-40D2-A611-5C091C0792DF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6E90C99D-CE93-40DD-B020-5642FFE96841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B2F55541-F51C-4126-A735-D2650FC9A2FE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976D3DC4-A7A5-4FFF-BBF8-A89D0217B759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1BFC2B47-1EFC-485C-911D-7889C65626F0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8D534257-E053-4889-B4C2-012F4BA4ED25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1B51547C-4A02-4AAE-B6A9-082E8EA5A0E6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4DA9-89F8-45A3-B185-7904029B9A38}">
  <dimension ref="A1:AK65536"/>
  <sheetViews>
    <sheetView showRuler="0" zoomScaleNormal="100" workbookViewId="0">
      <selection activeCell="D47" sqref="D47:J51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1350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2203857096</v>
      </c>
      <c r="C8" s="24" t="s">
        <v>1351</v>
      </c>
      <c r="D8" s="22" t="s">
        <v>1019</v>
      </c>
      <c r="E8" s="13" t="s">
        <v>1352</v>
      </c>
      <c r="F8" s="13">
        <v>10</v>
      </c>
      <c r="G8" s="13">
        <v>10</v>
      </c>
      <c r="H8" s="13"/>
      <c r="I8" s="16"/>
      <c r="J8" s="16">
        <v>10</v>
      </c>
      <c r="K8" s="16">
        <v>10</v>
      </c>
      <c r="L8" s="18">
        <f t="shared" ref="L8:L45" si="0">IF((COUNT(F8:I8)+COUNT(J8:J8)*2+COUNT(K8:K8)*3),ROUND((SUM(F8:I8)+SUM(J8:J8)*2+SUM(K8:K8)*3)/(COUNT(F8:I8)+COUNT(J8:J8)*2+COUNT(K8:K8)*3),1),"")</f>
        <v>10</v>
      </c>
      <c r="M8" s="16" t="s">
        <v>22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2203857097</v>
      </c>
      <c r="C9" s="24" t="s">
        <v>1353</v>
      </c>
      <c r="D9" s="22" t="s">
        <v>157</v>
      </c>
      <c r="E9" s="13" t="s">
        <v>1354</v>
      </c>
      <c r="F9" s="13">
        <v>10</v>
      </c>
      <c r="G9" s="13">
        <v>9</v>
      </c>
      <c r="H9" s="13"/>
      <c r="I9" s="16"/>
      <c r="J9" s="16">
        <v>10</v>
      </c>
      <c r="K9" s="16">
        <v>10</v>
      </c>
      <c r="L9" s="18">
        <f t="shared" si="0"/>
        <v>9.9</v>
      </c>
      <c r="M9" s="16" t="s">
        <v>22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2203857098</v>
      </c>
      <c r="C10" s="24" t="s">
        <v>124</v>
      </c>
      <c r="D10" s="22" t="s">
        <v>35</v>
      </c>
      <c r="E10" s="13" t="s">
        <v>1355</v>
      </c>
      <c r="F10" s="13">
        <v>10</v>
      </c>
      <c r="G10" s="13">
        <v>10</v>
      </c>
      <c r="H10" s="13"/>
      <c r="I10" s="16"/>
      <c r="J10" s="16">
        <v>10</v>
      </c>
      <c r="K10" s="16">
        <v>10</v>
      </c>
      <c r="L10" s="18">
        <f t="shared" si="0"/>
        <v>10</v>
      </c>
      <c r="M10" s="16" t="s">
        <v>22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2203857099</v>
      </c>
      <c r="C11" s="24" t="s">
        <v>379</v>
      </c>
      <c r="D11" s="22" t="s">
        <v>35</v>
      </c>
      <c r="E11" s="13" t="s">
        <v>1356</v>
      </c>
      <c r="F11" s="13">
        <v>10</v>
      </c>
      <c r="G11" s="13">
        <v>8.5</v>
      </c>
      <c r="H11" s="13"/>
      <c r="I11" s="16"/>
      <c r="J11" s="16">
        <v>10</v>
      </c>
      <c r="K11" s="16">
        <v>10</v>
      </c>
      <c r="L11" s="18">
        <f t="shared" si="0"/>
        <v>9.8000000000000007</v>
      </c>
      <c r="M11" s="16" t="s">
        <v>22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2203857100</v>
      </c>
      <c r="C12" s="25" t="s">
        <v>55</v>
      </c>
      <c r="D12" s="23" t="s">
        <v>1357</v>
      </c>
      <c r="E12" s="15" t="s">
        <v>1358</v>
      </c>
      <c r="F12" s="15">
        <v>8</v>
      </c>
      <c r="G12" s="15">
        <v>10</v>
      </c>
      <c r="H12" s="15"/>
      <c r="I12" s="17"/>
      <c r="J12" s="17">
        <v>9</v>
      </c>
      <c r="K12" s="17">
        <v>10</v>
      </c>
      <c r="L12" s="19">
        <f t="shared" si="0"/>
        <v>9.4</v>
      </c>
      <c r="M12" s="17" t="s">
        <v>22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2203857101</v>
      </c>
      <c r="C13" s="24" t="s">
        <v>1359</v>
      </c>
      <c r="D13" s="22" t="s">
        <v>373</v>
      </c>
      <c r="E13" s="13" t="s">
        <v>1312</v>
      </c>
      <c r="F13" s="13">
        <v>10</v>
      </c>
      <c r="G13" s="13">
        <v>10</v>
      </c>
      <c r="H13" s="13"/>
      <c r="I13" s="16"/>
      <c r="J13" s="16">
        <v>10</v>
      </c>
      <c r="K13" s="16">
        <v>10</v>
      </c>
      <c r="L13" s="18">
        <f t="shared" si="0"/>
        <v>10</v>
      </c>
      <c r="M13" s="16" t="s">
        <v>22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2203857102</v>
      </c>
      <c r="C14" s="24" t="s">
        <v>999</v>
      </c>
      <c r="D14" s="22" t="s">
        <v>59</v>
      </c>
      <c r="E14" s="13" t="s">
        <v>1360</v>
      </c>
      <c r="F14" s="13">
        <v>10</v>
      </c>
      <c r="G14" s="13">
        <v>10</v>
      </c>
      <c r="H14" s="13"/>
      <c r="I14" s="16"/>
      <c r="J14" s="16">
        <v>9</v>
      </c>
      <c r="K14" s="16">
        <v>9</v>
      </c>
      <c r="L14" s="18">
        <f t="shared" si="0"/>
        <v>9.3000000000000007</v>
      </c>
      <c r="M14" s="16" t="s">
        <v>22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2203857103</v>
      </c>
      <c r="C15" s="24" t="s">
        <v>1361</v>
      </c>
      <c r="D15" s="22" t="s">
        <v>302</v>
      </c>
      <c r="E15" s="13" t="s">
        <v>1362</v>
      </c>
      <c r="F15" s="13">
        <v>10</v>
      </c>
      <c r="G15" s="13">
        <v>10</v>
      </c>
      <c r="H15" s="13"/>
      <c r="I15" s="16"/>
      <c r="J15" s="16">
        <v>10</v>
      </c>
      <c r="K15" s="16">
        <v>9</v>
      </c>
      <c r="L15" s="18">
        <f t="shared" si="0"/>
        <v>9.6</v>
      </c>
      <c r="M15" s="16" t="s">
        <v>22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2203857105</v>
      </c>
      <c r="C16" s="24" t="s">
        <v>1363</v>
      </c>
      <c r="D16" s="22" t="s">
        <v>69</v>
      </c>
      <c r="E16" s="13" t="s">
        <v>1364</v>
      </c>
      <c r="F16" s="13">
        <v>8</v>
      </c>
      <c r="G16" s="13">
        <v>9.5</v>
      </c>
      <c r="H16" s="13"/>
      <c r="I16" s="16"/>
      <c r="J16" s="16">
        <v>10</v>
      </c>
      <c r="K16" s="16">
        <v>9</v>
      </c>
      <c r="L16" s="18">
        <f t="shared" si="0"/>
        <v>9.1999999999999993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2203857104</v>
      </c>
      <c r="C17" s="25" t="s">
        <v>1365</v>
      </c>
      <c r="D17" s="23" t="s">
        <v>69</v>
      </c>
      <c r="E17" s="15" t="s">
        <v>1366</v>
      </c>
      <c r="F17" s="15">
        <v>10</v>
      </c>
      <c r="G17" s="15">
        <v>9</v>
      </c>
      <c r="H17" s="15"/>
      <c r="I17" s="17"/>
      <c r="J17" s="17">
        <v>10</v>
      </c>
      <c r="K17" s="17">
        <v>8</v>
      </c>
      <c r="L17" s="19">
        <f t="shared" si="0"/>
        <v>9</v>
      </c>
      <c r="M17" s="17" t="s">
        <v>22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2203857106</v>
      </c>
      <c r="C18" s="24" t="s">
        <v>907</v>
      </c>
      <c r="D18" s="22" t="s">
        <v>880</v>
      </c>
      <c r="E18" s="13" t="s">
        <v>1123</v>
      </c>
      <c r="F18" s="13">
        <v>9</v>
      </c>
      <c r="G18" s="13">
        <v>8</v>
      </c>
      <c r="H18" s="13"/>
      <c r="I18" s="16"/>
      <c r="J18" s="16">
        <v>10</v>
      </c>
      <c r="K18" s="16">
        <v>9</v>
      </c>
      <c r="L18" s="18">
        <f t="shared" si="0"/>
        <v>9.1</v>
      </c>
      <c r="M18" s="16" t="s">
        <v>22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2203857107</v>
      </c>
      <c r="C19" s="24" t="s">
        <v>1367</v>
      </c>
      <c r="D19" s="22" t="s">
        <v>305</v>
      </c>
      <c r="E19" s="13" t="s">
        <v>1368</v>
      </c>
      <c r="F19" s="13">
        <v>10</v>
      </c>
      <c r="G19" s="13">
        <v>10</v>
      </c>
      <c r="H19" s="13"/>
      <c r="I19" s="16"/>
      <c r="J19" s="16">
        <v>10</v>
      </c>
      <c r="K19" s="16">
        <v>10</v>
      </c>
      <c r="L19" s="18">
        <f t="shared" si="0"/>
        <v>10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2203857108</v>
      </c>
      <c r="C20" s="24" t="s">
        <v>1369</v>
      </c>
      <c r="D20" s="22" t="s">
        <v>81</v>
      </c>
      <c r="E20" s="13" t="s">
        <v>1368</v>
      </c>
      <c r="F20" s="13">
        <v>9</v>
      </c>
      <c r="G20" s="13">
        <v>8.5</v>
      </c>
      <c r="H20" s="13"/>
      <c r="I20" s="16"/>
      <c r="J20" s="16">
        <v>10</v>
      </c>
      <c r="K20" s="16">
        <v>10</v>
      </c>
      <c r="L20" s="18">
        <f t="shared" si="0"/>
        <v>9.6</v>
      </c>
      <c r="M20" s="16" t="s">
        <v>22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2203857109</v>
      </c>
      <c r="C21" s="24" t="s">
        <v>74</v>
      </c>
      <c r="D21" s="22" t="s">
        <v>84</v>
      </c>
      <c r="E21" s="13" t="s">
        <v>1370</v>
      </c>
      <c r="F21" s="13">
        <v>10</v>
      </c>
      <c r="G21" s="13">
        <v>9.5</v>
      </c>
      <c r="H21" s="13"/>
      <c r="I21" s="16"/>
      <c r="J21" s="16">
        <v>9.5</v>
      </c>
      <c r="K21" s="16">
        <v>10</v>
      </c>
      <c r="L21" s="18">
        <f t="shared" si="0"/>
        <v>9.8000000000000007</v>
      </c>
      <c r="M21" s="16" t="s">
        <v>22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2203857110</v>
      </c>
      <c r="C22" s="25" t="s">
        <v>1371</v>
      </c>
      <c r="D22" s="23" t="s">
        <v>90</v>
      </c>
      <c r="E22" s="15" t="s">
        <v>1372</v>
      </c>
      <c r="F22" s="15">
        <v>9</v>
      </c>
      <c r="G22" s="15">
        <v>10</v>
      </c>
      <c r="H22" s="15"/>
      <c r="I22" s="17"/>
      <c r="J22" s="17">
        <v>10</v>
      </c>
      <c r="K22" s="17">
        <v>10</v>
      </c>
      <c r="L22" s="19">
        <f t="shared" si="0"/>
        <v>9.9</v>
      </c>
      <c r="M22" s="17" t="s">
        <v>22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2203857111</v>
      </c>
      <c r="C23" s="24" t="s">
        <v>1373</v>
      </c>
      <c r="D23" s="22" t="s">
        <v>896</v>
      </c>
      <c r="E23" s="13" t="s">
        <v>1374</v>
      </c>
      <c r="F23" s="13">
        <v>10</v>
      </c>
      <c r="G23" s="13">
        <v>8.5</v>
      </c>
      <c r="H23" s="13"/>
      <c r="I23" s="16"/>
      <c r="J23" s="16">
        <v>10</v>
      </c>
      <c r="K23" s="16">
        <v>8</v>
      </c>
      <c r="L23" s="18">
        <f t="shared" si="0"/>
        <v>8.9</v>
      </c>
      <c r="M23" s="16" t="s">
        <v>22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2203857112</v>
      </c>
      <c r="C24" s="24" t="s">
        <v>1375</v>
      </c>
      <c r="D24" s="22" t="s">
        <v>1376</v>
      </c>
      <c r="E24" s="13" t="s">
        <v>1377</v>
      </c>
      <c r="F24" s="13">
        <v>10</v>
      </c>
      <c r="G24" s="13">
        <v>9.5</v>
      </c>
      <c r="H24" s="13"/>
      <c r="I24" s="16"/>
      <c r="J24" s="16">
        <v>10</v>
      </c>
      <c r="K24" s="16">
        <v>10</v>
      </c>
      <c r="L24" s="18">
        <f t="shared" si="0"/>
        <v>9.9</v>
      </c>
      <c r="M24" s="16" t="s">
        <v>22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2203857113</v>
      </c>
      <c r="C25" s="24" t="s">
        <v>924</v>
      </c>
      <c r="D25" s="22" t="s">
        <v>98</v>
      </c>
      <c r="E25" s="13" t="s">
        <v>1378</v>
      </c>
      <c r="F25" s="13">
        <v>10</v>
      </c>
      <c r="G25" s="13">
        <v>8</v>
      </c>
      <c r="H25" s="13"/>
      <c r="I25" s="16"/>
      <c r="J25" s="16">
        <v>10</v>
      </c>
      <c r="K25" s="16">
        <v>10</v>
      </c>
      <c r="L25" s="18">
        <f t="shared" si="0"/>
        <v>9.6999999999999993</v>
      </c>
      <c r="M25" s="16" t="s">
        <v>22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2203857114</v>
      </c>
      <c r="C26" s="24" t="s">
        <v>1379</v>
      </c>
      <c r="D26" s="22" t="s">
        <v>117</v>
      </c>
      <c r="E26" s="13" t="s">
        <v>1380</v>
      </c>
      <c r="F26" s="13">
        <v>9</v>
      </c>
      <c r="G26" s="13">
        <v>10</v>
      </c>
      <c r="H26" s="13"/>
      <c r="I26" s="16"/>
      <c r="J26" s="16">
        <v>10</v>
      </c>
      <c r="K26" s="16">
        <v>10</v>
      </c>
      <c r="L26" s="18">
        <f t="shared" si="0"/>
        <v>9.9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2203857115</v>
      </c>
      <c r="C27" s="25" t="s">
        <v>1381</v>
      </c>
      <c r="D27" s="23" t="s">
        <v>117</v>
      </c>
      <c r="E27" s="15" t="s">
        <v>1382</v>
      </c>
      <c r="F27" s="15">
        <v>10</v>
      </c>
      <c r="G27" s="15">
        <v>9.5</v>
      </c>
      <c r="H27" s="15"/>
      <c r="I27" s="17"/>
      <c r="J27" s="17">
        <v>9</v>
      </c>
      <c r="K27" s="17">
        <v>8</v>
      </c>
      <c r="L27" s="19">
        <f t="shared" si="0"/>
        <v>8.8000000000000007</v>
      </c>
      <c r="M27" s="17" t="s">
        <v>22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2203857116</v>
      </c>
      <c r="C28" s="24" t="s">
        <v>1383</v>
      </c>
      <c r="D28" s="22" t="s">
        <v>117</v>
      </c>
      <c r="E28" s="13" t="s">
        <v>1384</v>
      </c>
      <c r="F28" s="13">
        <v>9.5</v>
      </c>
      <c r="G28" s="13">
        <v>5</v>
      </c>
      <c r="H28" s="13"/>
      <c r="I28" s="16"/>
      <c r="J28" s="16">
        <v>9.5</v>
      </c>
      <c r="K28" s="16">
        <v>9</v>
      </c>
      <c r="L28" s="18">
        <f t="shared" si="0"/>
        <v>8.6</v>
      </c>
      <c r="M28" s="16" t="s">
        <v>22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2203857117</v>
      </c>
      <c r="C29" s="24" t="s">
        <v>1385</v>
      </c>
      <c r="D29" s="22" t="s">
        <v>665</v>
      </c>
      <c r="E29" s="13" t="s">
        <v>1386</v>
      </c>
      <c r="F29" s="13">
        <v>10</v>
      </c>
      <c r="G29" s="13">
        <v>10</v>
      </c>
      <c r="H29" s="13"/>
      <c r="I29" s="16"/>
      <c r="J29" s="16">
        <v>10</v>
      </c>
      <c r="K29" s="16">
        <v>8</v>
      </c>
      <c r="L29" s="18">
        <f t="shared" si="0"/>
        <v>9.1</v>
      </c>
      <c r="M29" s="16" t="s">
        <v>22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2203857118</v>
      </c>
      <c r="C30" s="24" t="s">
        <v>1141</v>
      </c>
      <c r="D30" s="22" t="s">
        <v>1387</v>
      </c>
      <c r="E30" s="13" t="s">
        <v>1388</v>
      </c>
      <c r="F30" s="13">
        <v>5</v>
      </c>
      <c r="G30" s="13">
        <v>7.5</v>
      </c>
      <c r="H30" s="13"/>
      <c r="I30" s="16"/>
      <c r="J30" s="16">
        <v>10</v>
      </c>
      <c r="K30" s="16">
        <v>10</v>
      </c>
      <c r="L30" s="18">
        <f t="shared" si="0"/>
        <v>8.9</v>
      </c>
      <c r="M30" s="16" t="s">
        <v>33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2203857119</v>
      </c>
      <c r="C31" s="24" t="s">
        <v>1389</v>
      </c>
      <c r="D31" s="22" t="s">
        <v>238</v>
      </c>
      <c r="E31" s="13" t="s">
        <v>1390</v>
      </c>
      <c r="F31" s="13">
        <v>9</v>
      </c>
      <c r="G31" s="13">
        <v>9.5</v>
      </c>
      <c r="H31" s="13"/>
      <c r="I31" s="16"/>
      <c r="J31" s="16">
        <v>10</v>
      </c>
      <c r="K31" s="16">
        <v>10</v>
      </c>
      <c r="L31" s="18">
        <f t="shared" si="0"/>
        <v>9.8000000000000007</v>
      </c>
      <c r="M31" s="16" t="s">
        <v>22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2203857120</v>
      </c>
      <c r="C32" s="25" t="s">
        <v>1391</v>
      </c>
      <c r="D32" s="23" t="s">
        <v>599</v>
      </c>
      <c r="E32" s="15" t="s">
        <v>1392</v>
      </c>
      <c r="F32" s="15">
        <v>10</v>
      </c>
      <c r="G32" s="15">
        <v>9.5</v>
      </c>
      <c r="H32" s="15"/>
      <c r="I32" s="17"/>
      <c r="J32" s="17">
        <v>10</v>
      </c>
      <c r="K32" s="17">
        <v>8</v>
      </c>
      <c r="L32" s="19">
        <f t="shared" si="0"/>
        <v>9.1</v>
      </c>
      <c r="M32" s="17" t="s">
        <v>22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2203269301</v>
      </c>
      <c r="C33" s="24" t="s">
        <v>1393</v>
      </c>
      <c r="D33" s="22" t="s">
        <v>1394</v>
      </c>
      <c r="E33" s="13" t="s">
        <v>1370</v>
      </c>
      <c r="F33" s="13">
        <v>10</v>
      </c>
      <c r="G33" s="13">
        <v>0</v>
      </c>
      <c r="H33" s="13"/>
      <c r="I33" s="16"/>
      <c r="J33" s="16">
        <v>10</v>
      </c>
      <c r="K33" s="16">
        <v>10</v>
      </c>
      <c r="L33" s="18">
        <f t="shared" si="0"/>
        <v>8.6</v>
      </c>
      <c r="M33" s="16" t="s">
        <v>22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2203857121</v>
      </c>
      <c r="C34" s="24" t="s">
        <v>940</v>
      </c>
      <c r="D34" s="22" t="s">
        <v>511</v>
      </c>
      <c r="E34" s="13" t="s">
        <v>1395</v>
      </c>
      <c r="F34" s="13">
        <v>10</v>
      </c>
      <c r="G34" s="13">
        <v>10</v>
      </c>
      <c r="H34" s="13"/>
      <c r="I34" s="16"/>
      <c r="J34" s="16">
        <v>10</v>
      </c>
      <c r="K34" s="16">
        <v>10</v>
      </c>
      <c r="L34" s="18">
        <f t="shared" si="0"/>
        <v>10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2203857122</v>
      </c>
      <c r="C35" s="24" t="s">
        <v>1396</v>
      </c>
      <c r="D35" s="22" t="s">
        <v>128</v>
      </c>
      <c r="E35" s="13" t="s">
        <v>1242</v>
      </c>
      <c r="F35" s="13">
        <v>10</v>
      </c>
      <c r="G35" s="13">
        <v>10</v>
      </c>
      <c r="H35" s="13"/>
      <c r="I35" s="16"/>
      <c r="J35" s="16">
        <v>10</v>
      </c>
      <c r="K35" s="16">
        <v>10</v>
      </c>
      <c r="L35" s="18">
        <f t="shared" si="0"/>
        <v>10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2203857123</v>
      </c>
      <c r="C36" s="24" t="s">
        <v>1397</v>
      </c>
      <c r="D36" s="22" t="s">
        <v>345</v>
      </c>
      <c r="E36" s="13" t="s">
        <v>1398</v>
      </c>
      <c r="F36" s="13">
        <v>9</v>
      </c>
      <c r="G36" s="13">
        <v>8</v>
      </c>
      <c r="H36" s="13"/>
      <c r="I36" s="16"/>
      <c r="J36" s="16">
        <v>10</v>
      </c>
      <c r="K36" s="16">
        <v>10</v>
      </c>
      <c r="L36" s="18">
        <f t="shared" si="0"/>
        <v>9.6</v>
      </c>
      <c r="M36" s="16" t="s">
        <v>22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2203857125</v>
      </c>
      <c r="C37" s="25" t="s">
        <v>1399</v>
      </c>
      <c r="D37" s="23" t="s">
        <v>686</v>
      </c>
      <c r="E37" s="15" t="s">
        <v>1400</v>
      </c>
      <c r="F37" s="15">
        <v>10</v>
      </c>
      <c r="G37" s="15">
        <v>9.5</v>
      </c>
      <c r="H37" s="15"/>
      <c r="I37" s="17"/>
      <c r="J37" s="17">
        <v>10</v>
      </c>
      <c r="K37" s="17">
        <v>10</v>
      </c>
      <c r="L37" s="19">
        <f t="shared" si="0"/>
        <v>9.9</v>
      </c>
      <c r="M37" s="17" t="s">
        <v>22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2203857126</v>
      </c>
      <c r="C38" s="24" t="s">
        <v>1401</v>
      </c>
      <c r="D38" s="22" t="s">
        <v>136</v>
      </c>
      <c r="E38" s="13" t="s">
        <v>1402</v>
      </c>
      <c r="F38" s="13">
        <v>10</v>
      </c>
      <c r="G38" s="13">
        <v>9.5</v>
      </c>
      <c r="H38" s="13"/>
      <c r="I38" s="16"/>
      <c r="J38" s="16">
        <v>10</v>
      </c>
      <c r="K38" s="16">
        <v>10</v>
      </c>
      <c r="L38" s="18">
        <f t="shared" si="0"/>
        <v>9.9</v>
      </c>
      <c r="M38" s="16" t="s">
        <v>22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2203857127</v>
      </c>
      <c r="C39" s="24" t="s">
        <v>1403</v>
      </c>
      <c r="D39" s="22" t="s">
        <v>1404</v>
      </c>
      <c r="E39" s="13" t="s">
        <v>1405</v>
      </c>
      <c r="F39" s="13">
        <v>8</v>
      </c>
      <c r="G39" s="13">
        <v>10</v>
      </c>
      <c r="H39" s="13"/>
      <c r="I39" s="16"/>
      <c r="J39" s="16">
        <v>8.5</v>
      </c>
      <c r="K39" s="16">
        <v>6</v>
      </c>
      <c r="L39" s="18">
        <f t="shared" si="0"/>
        <v>7.6</v>
      </c>
      <c r="M39" s="16" t="s">
        <v>22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2203857128</v>
      </c>
      <c r="C40" s="24" t="s">
        <v>1406</v>
      </c>
      <c r="D40" s="22" t="s">
        <v>139</v>
      </c>
      <c r="E40" s="13" t="s">
        <v>1407</v>
      </c>
      <c r="F40" s="13">
        <v>10</v>
      </c>
      <c r="G40" s="13">
        <v>9</v>
      </c>
      <c r="H40" s="13"/>
      <c r="I40" s="16"/>
      <c r="J40" s="16">
        <v>10</v>
      </c>
      <c r="K40" s="16">
        <v>10</v>
      </c>
      <c r="L40" s="18">
        <f t="shared" si="0"/>
        <v>9.9</v>
      </c>
      <c r="M40" s="16" t="s">
        <v>22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2203857131</v>
      </c>
      <c r="C41" s="24" t="s">
        <v>1408</v>
      </c>
      <c r="D41" s="22" t="s">
        <v>139</v>
      </c>
      <c r="E41" s="13" t="s">
        <v>1409</v>
      </c>
      <c r="F41" s="13">
        <v>10</v>
      </c>
      <c r="G41" s="13">
        <v>10</v>
      </c>
      <c r="H41" s="13"/>
      <c r="I41" s="16"/>
      <c r="J41" s="16">
        <v>10</v>
      </c>
      <c r="K41" s="16">
        <v>9</v>
      </c>
      <c r="L41" s="18">
        <f t="shared" si="0"/>
        <v>9.6</v>
      </c>
      <c r="M41" s="16" t="s">
        <v>22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2203857133</v>
      </c>
      <c r="C42" s="25" t="s">
        <v>1410</v>
      </c>
      <c r="D42" s="23" t="s">
        <v>139</v>
      </c>
      <c r="E42" s="15" t="s">
        <v>1380</v>
      </c>
      <c r="F42" s="15">
        <v>10</v>
      </c>
      <c r="G42" s="15">
        <v>10</v>
      </c>
      <c r="H42" s="15"/>
      <c r="I42" s="17"/>
      <c r="J42" s="17">
        <v>10</v>
      </c>
      <c r="K42" s="17">
        <v>9</v>
      </c>
      <c r="L42" s="19">
        <f t="shared" si="0"/>
        <v>9.6</v>
      </c>
      <c r="M42" s="17" t="s">
        <v>22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2203857129</v>
      </c>
      <c r="C43" s="24" t="s">
        <v>1411</v>
      </c>
      <c r="D43" s="22" t="s">
        <v>139</v>
      </c>
      <c r="E43" s="13" t="s">
        <v>1292</v>
      </c>
      <c r="F43" s="13">
        <v>10</v>
      </c>
      <c r="G43" s="13">
        <v>10</v>
      </c>
      <c r="H43" s="13"/>
      <c r="I43" s="16"/>
      <c r="J43" s="16">
        <v>10</v>
      </c>
      <c r="K43" s="16">
        <v>9.5</v>
      </c>
      <c r="L43" s="18">
        <f t="shared" si="0"/>
        <v>9.8000000000000007</v>
      </c>
      <c r="M43" s="16" t="s">
        <v>22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2203857130</v>
      </c>
      <c r="C44" s="24" t="s">
        <v>1412</v>
      </c>
      <c r="D44" s="22" t="s">
        <v>139</v>
      </c>
      <c r="E44" s="13" t="s">
        <v>1413</v>
      </c>
      <c r="F44" s="13">
        <v>9</v>
      </c>
      <c r="G44" s="13">
        <v>8</v>
      </c>
      <c r="H44" s="13"/>
      <c r="I44" s="16"/>
      <c r="J44" s="16">
        <v>10</v>
      </c>
      <c r="K44" s="16">
        <v>9</v>
      </c>
      <c r="L44" s="18">
        <f t="shared" si="0"/>
        <v>9.1</v>
      </c>
      <c r="M44" s="16" t="s">
        <v>22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1">
        <v>38</v>
      </c>
      <c r="B45" s="15">
        <v>2203857134</v>
      </c>
      <c r="C45" s="25" t="s">
        <v>1414</v>
      </c>
      <c r="D45" s="23" t="s">
        <v>1415</v>
      </c>
      <c r="E45" s="15" t="s">
        <v>469</v>
      </c>
      <c r="F45" s="15">
        <v>10</v>
      </c>
      <c r="G45" s="15">
        <v>10</v>
      </c>
      <c r="H45" s="15"/>
      <c r="I45" s="17"/>
      <c r="J45" s="17">
        <v>10</v>
      </c>
      <c r="K45" s="17">
        <v>10</v>
      </c>
      <c r="L45" s="19">
        <f t="shared" si="0"/>
        <v>10</v>
      </c>
      <c r="M45" s="17" t="s">
        <v>22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39" t="s">
        <v>141</v>
      </c>
      <c r="B46" s="40"/>
      <c r="C46" s="41"/>
      <c r="D46" s="41"/>
      <c r="E46" s="41"/>
      <c r="F46" s="40"/>
      <c r="G46" s="40"/>
      <c r="H46" s="40"/>
      <c r="I46" s="40"/>
      <c r="J46" s="42"/>
      <c r="K46" s="8"/>
      <c r="L46" s="9"/>
      <c r="M46" s="10"/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43"/>
      <c r="B47" s="33"/>
      <c r="C47" s="44"/>
      <c r="D47" s="45"/>
      <c r="E47" s="45"/>
      <c r="F47" s="46"/>
      <c r="G47" s="46"/>
      <c r="H47" s="46"/>
      <c r="I47" s="46"/>
      <c r="J47" s="47"/>
    </row>
    <row r="48" spans="1:37" ht="12.75" customHeight="1" x14ac:dyDescent="0.35">
      <c r="A48" s="48" t="s">
        <v>142</v>
      </c>
      <c r="B48" s="33"/>
      <c r="C48" s="44"/>
      <c r="D48" s="45" t="s">
        <v>143</v>
      </c>
      <c r="E48" s="45"/>
      <c r="F48" s="46" t="str">
        <f>TEXT(COUNTIF(L8:L45,"&gt;="&amp;Q48),"#0")</f>
        <v>37</v>
      </c>
      <c r="G48" s="46"/>
      <c r="H48" s="31" t="s">
        <v>144</v>
      </c>
      <c r="I48" s="46" t="str">
        <f>ROUND(F48/IF(COUNTIF(L8:L45,"&gt;=0")=0,1,COUNTIF(L8:L45,"&gt;=0")),4)*100&amp;"%"</f>
        <v>97.37%</v>
      </c>
      <c r="J48" s="47"/>
      <c r="Q48" s="26">
        <v>7.95</v>
      </c>
    </row>
    <row r="49" spans="1:17" ht="12.75" customHeight="1" x14ac:dyDescent="0.35">
      <c r="A49" s="43" t="s">
        <v>145</v>
      </c>
      <c r="B49" s="33"/>
      <c r="C49" s="44"/>
      <c r="D49" s="45" t="s">
        <v>146</v>
      </c>
      <c r="E49" s="45"/>
      <c r="F49" s="46" t="str">
        <f>TEXT(COUNTIF(L8:L45,"&gt;="&amp;Q49)-F48,"#0")</f>
        <v>1</v>
      </c>
      <c r="G49" s="46"/>
      <c r="H49" s="31" t="s">
        <v>144</v>
      </c>
      <c r="I49" s="46" t="str">
        <f>ROUND(F49/IF(COUNTIF(L8:L45,"&gt;=0")=0,1,COUNTIF(L8:L45,"&gt;=0")),4)*100&amp;"%"</f>
        <v>2.63%</v>
      </c>
      <c r="J49" s="47"/>
      <c r="Q49" s="26">
        <v>6.45</v>
      </c>
    </row>
    <row r="50" spans="1:17" ht="12.75" customHeight="1" x14ac:dyDescent="0.35">
      <c r="A50" s="27"/>
      <c r="D50" s="45" t="s">
        <v>147</v>
      </c>
      <c r="E50" s="45"/>
      <c r="F50" s="46" t="str">
        <f>TEXT(COUNTIF(L8:L45,"&gt;="&amp;Q50)-F49-F48,"#0")</f>
        <v>0</v>
      </c>
      <c r="G50" s="46"/>
      <c r="H50" s="31" t="s">
        <v>144</v>
      </c>
      <c r="I50" s="46" t="str">
        <f>ROUND(F50/IF(COUNTIF(L8:L45,"&gt;=0")=0,1,COUNTIF(L8:L45,"&gt;=0")),4)*100&amp;"%"</f>
        <v>0%</v>
      </c>
      <c r="J50" s="47"/>
      <c r="Q50" s="26">
        <v>4.95</v>
      </c>
    </row>
    <row r="51" spans="1:17" ht="12.75" customHeight="1" x14ac:dyDescent="0.35">
      <c r="A51" s="28"/>
      <c r="B51" s="29"/>
      <c r="C51" s="30"/>
      <c r="D51" s="49" t="s">
        <v>148</v>
      </c>
      <c r="E51" s="49"/>
      <c r="F51" s="50" t="str">
        <f>TEXT(COUNTIF(L8:L45,"&gt;=0")-F47-F48-F49-F50,"#0")</f>
        <v>0</v>
      </c>
      <c r="G51" s="50"/>
      <c r="H51" s="32" t="s">
        <v>144</v>
      </c>
      <c r="I51" s="50" t="str">
        <f>ROUND(F51/IF(COUNTIF(L8:L45,"&gt;=0")=0,1,COUNTIF(L8:L45,"&gt;=0")),4)*100&amp;"%"</f>
        <v>0%</v>
      </c>
      <c r="J51" s="51"/>
    </row>
    <row r="65536" ht="14.5" x14ac:dyDescent="0.35"/>
  </sheetData>
  <mergeCells count="32">
    <mergeCell ref="D50:E50"/>
    <mergeCell ref="F50:G50"/>
    <mergeCell ref="I50:J50"/>
    <mergeCell ref="D51:E51"/>
    <mergeCell ref="F51:G51"/>
    <mergeCell ref="I51:J51"/>
    <mergeCell ref="A46:J47"/>
    <mergeCell ref="A48:C48"/>
    <mergeCell ref="D48:E48"/>
    <mergeCell ref="F48:G48"/>
    <mergeCell ref="I48:J48"/>
    <mergeCell ref="A49:C49"/>
    <mergeCell ref="D49:E49"/>
    <mergeCell ref="F49:G49"/>
    <mergeCell ref="I49:J49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30">
    <dataValidation type="list" allowBlank="1" showInputMessage="1" showErrorMessage="1" errorTitle="Thông báo" error="Bạn phải nhập [Đạt] = d, Đ, đ, 1   [Chưa đạt] = c, CĐ, cđ, 2" sqref="C5" xr:uid="{423F2C8F-0C84-4779-A741-8AF1B5D93446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101830BD-7037-44FB-9A6C-BAD0DD5EA37B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D104C2F7-9A0C-499C-9C10-6EE5A4C384B5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BE72E45D-7469-4E69-B752-3FE28B83B029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1D8D0004-72F7-478B-AD75-3FFEE211AE16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5893BDEF-0907-476D-926A-CC5EF746054D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DF49604C-428D-454E-84E7-DBD4E11D4CFA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EF282A3C-5C10-43B7-88AB-0993362F309D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4F0B1054-9599-490D-931F-E8289CE54288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5187F024-C243-4336-B0E8-71B9E1740756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252DA8A4-A1A2-443B-B22E-3C6A6ED9A87F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8ABA6705-5D17-4183-BA41-7452FBDD14B1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2FCB37D6-9986-4FC0-B1D7-14ED12740617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09E84248-918C-4E62-BA68-7E13D23809C9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2C280C3D-4522-446D-937C-4A400F067CC4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7ADBC193-1E7E-4DF4-ABB3-A3C27A2C4FF4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529344FF-E582-400C-BAEF-601E4B93DC26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766AB8C0-EA5D-47AF-857C-F993042C8E9B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BC6F0CAF-65A8-4CBC-B93E-9E599C08E069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B70B8BBD-2AA6-45C6-A71C-076AB530A869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EE96331B-894F-4302-8B56-A35B8F3D65EA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9DB6472B-A3CD-4333-91ED-2FA4630B1B82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33C6F3CE-41DE-4469-AA88-D475C4521EFD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0EC08B9C-5881-4D2B-A427-F4EC66E213F7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30CE7661-9831-4CC7-8CA2-5F14A2AD1A15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FC6E9439-AF95-4C33-8362-A0A27C58E6D3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AD9A0581-9448-4F7D-9E78-C12EB6CEE6A2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C83585C8-5981-496A-BDD6-520C3BB0927D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5E9E1EEF-9FEC-435F-A9CE-6480EB96A370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79987434-75CE-4ABF-81FE-7E5B25326D68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70FF4FF2-0034-4135-A771-E06FBDDF7E03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EEEA08D3-B85F-4A1B-A070-F81EC51BB917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12CBB29B-D6C2-4AD2-9E7C-DF3ECC500730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C8C004CB-B491-4A74-8AE2-0B9AD98A8C26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46663D57-F2FA-4A54-8C0E-ADF0C1C0511B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4FBEB3B9-2751-4600-BEF4-853660D5DB28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9FFBEDAE-733D-46DE-B6C6-9A56DBEDEA5E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18D1DCF2-E184-4FD1-B6B8-7989D351D593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BD49E575-17B0-4B54-B54E-F7118066B309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B35A381F-3DEE-45ED-A303-9C26AD39BDC7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8616204D-9189-4F5F-B46C-FEA25BEB2941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EE51F2AB-5225-4FDB-917E-476C1381BFB4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8529D980-5742-49BC-9795-6BBDD4245A88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6844137A-5E1F-42F4-9416-27388000005A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8A8421D6-B9F4-4C28-9A47-2107109E106E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5E3A8989-B8C7-4CB5-95B8-821EFEFBDE59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30577726-59B2-46A7-A87B-1F4A51EAECAA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FBFF1F74-0E1E-4353-821A-397016536202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6847C4DB-2BCE-4715-A062-878CF1A31EDB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D02C15E1-2490-407E-BAEB-54C153618643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52238E3E-709B-44AC-A137-2D66031B1CC6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D78A937E-47F6-42C8-B55B-39EBB9D80923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52DE15CE-0B70-4D31-82E6-5851D6BE0950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4E29F9E1-D0AC-4153-97C4-70A541CF97EA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2CB9185F-BDC1-4CD5-BE48-7D6C7D56F6AF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82034138-7BA0-47A1-95E7-C827262B389F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F6BB088C-A045-4EE3-8B0F-734EF3380BBF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B3E8D1CD-C37B-4D9B-BEBC-1F73703B0D6A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BADE0B9E-94F5-4990-96DF-F940032C4B55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D0AE2482-607F-4C73-B522-A5A438D5D7EF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E725C06D-195A-4869-8CE5-9524BF8D9575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8BB063F2-08CE-4E46-8F36-A71393821E9E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6DFBEC2C-1DF8-4A0C-9EF1-92E3DC47454D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1A1B5E49-ADCA-4EA5-92B4-A40F83231425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FB36132A-5525-4198-A3A0-5D3E2E1626D9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D9BE641F-7E09-4C63-8783-024AF2CE2BEC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88ACCD11-A544-468B-A1D1-C6ADD0EC5A62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4C61B4EC-D6B5-4480-8AA0-E85316DBE99D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34CC1781-CC83-4117-8D17-3BEB3CE02F54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51AD9BBD-7CDB-4C94-B645-B245CE9944C7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E9D5114F-5CDB-4C57-8225-737AD0BE6238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0671BAC0-4F76-4A09-B32D-80DF5F17224A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185C0571-3370-43E5-8132-D37DEDE48374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ED0FDCEE-F99D-47DD-A0F0-5F1FF8981349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D69E2D0E-219C-4296-A75F-956A431B8E5A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60311947-02B8-438D-BBE8-407C215820E9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5596F1D1-2CF6-41B0-90D9-41D102C07C95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8471BAEC-3F27-4189-ACC9-27D38EFF3C44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59CC78D6-48AE-466F-98E1-1DB3D2E79454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98C797F6-FED6-497A-906C-4A0E76DB7CA5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38D00B56-8883-4560-B06C-8AB8A69C47AD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D7E47FCA-D97A-4047-BE5B-75CDBD49A898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9F3C63A8-888F-4260-A791-2DEC17F43AB4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E0750516-4FF4-4BA3-963F-C5A8830E9A5B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89049B28-3487-4049-B4C6-F04DB1E58B7D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BE8E465C-CA31-4602-963D-1D1FD2692099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D0B15C96-65C5-45C1-87B6-01FE0FE0FF77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70D211F8-8D82-4D2B-98D6-43032285FDFC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27D5E49E-1F72-46FF-8359-91B621F93C86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F5AE3090-046B-4414-BF32-DAE625AAADCA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7CA690E5-4F65-4558-9A38-05CBEE5ADFA1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7052789E-260B-48D7-98CC-E6C91F8DBB40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239BE94C-7CDB-4DCB-ADC1-E61AD6A37057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7BAD380A-DC9B-47D5-8C88-5E37F598C8D9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49F5D1D6-BC97-439B-A276-7519C39553A4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2500C791-0840-4205-85A1-FF1D021A1002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B3412397-738F-4EB9-B8AA-9BA88A2B4815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964BCC96-B696-4681-9E1B-345829D3E320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09637227-3E1A-477C-BBE0-ABF098BB26D0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AB2B3DF2-8A3F-4A3D-BCBB-8AD20EE79C27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829BEE97-257E-4E40-94B8-DF6EC857A3E1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EFE5C097-E778-4005-9AC4-D01A181DB622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6517995C-782E-4C07-9ED4-7A33D095EFD0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5200B95C-DF84-499D-B232-00224BC0634B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33EC1FCE-8C2F-49EE-9DFE-105F4B02DC6C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633EB975-4182-4A5A-94E7-4F05459EB09A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C3551097-CCF5-4094-A7DF-95BE203CCA38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7D2CEBCF-5850-4289-B3CB-6B4DC57AB7A9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12F8DB7D-CEDC-4969-8E05-0C2C6C0C8D9E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D91CD07A-AED2-4455-859F-E96CF6320DCC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78D58B6B-AF9C-4290-BEE5-DED5CFF4EBDE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3E3E2CDA-E7CA-4CB9-96F2-C24ADD3242BF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15026325-9705-4910-8F54-59B7BC8F863C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749ED3B9-EC6E-4E96-99E4-314A968B1FB9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9D71336F-FDD3-476A-9EA9-D83D95D3E388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5C7BF129-983A-448B-BD1A-82AFF1BA6AE9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C67B3B7F-AF00-495D-9B51-A44D4E4D6438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1D2248D6-6FF3-4DC2-8FEA-8F9678042B55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07A31612-9C35-4B56-8BE2-253530A32EBC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E35DA54A-2D89-430B-B68A-E74A6AC2A4BE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DFDCE787-63E4-44AE-8A68-6F1224984968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5FFE733A-923E-48C7-9C50-99B55D9284BA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C597E3D6-1E64-466D-9D42-BD707301EFB8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AA986D34-C059-4D51-B5CB-82B4C59A2828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BEA742DC-A2BD-4033-9D48-2C58FB6DED65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6BBF6FDA-ED0D-4B3C-A979-5D850EEB7503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8F4BE6F0-4D92-4DF6-9D6C-B96EAA2BFB8D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9FB06ACE-195B-4B51-A7F3-5AFAE4B26D2A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A6DE945F-FE16-4CCE-B74C-452AD387087C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EAFF5EDC-B145-4659-8768-3AF4971AE9A8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EF6A16B9-E5F2-4F5B-8B71-1A2AADC0EE41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5DDDF810-E4CD-456A-90B4-51F689F90C4D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66B9E109-4A40-4462-AF37-E615A80A3296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50505287-6859-4009-AC74-5F222CD7E5F1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5241D103-85D7-42FD-AA84-A6FC3343FB29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2AC87412-B3EE-4977-9F35-667B3B366630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6B910E2A-7FA4-4A84-B21B-233D4FE54F2C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562200E6-CCBF-4CE4-BFE0-A071C456923B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4B800F51-C434-43D2-A4E3-1F0D85F86AC9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E60BCCB4-07BA-4684-AE9E-CB754786DAE8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3FD545C3-B710-40CC-A824-11DCA699EEC2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2192D522-0180-4CAF-89BB-456DDFF2E142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6E6ED284-547E-4745-ABEB-64EB93DB9F4B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38ABB989-E290-4DDF-BC32-B550E46F81FD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E5A43047-81E4-4CC2-B527-45D0AD195ABA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5FB4EC23-8C7B-45DC-B4F2-A53EE301B3E4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DB4CACA0-B96C-4D69-A7D8-4EFF657677CA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4E1C8BC6-4883-4629-A5F4-FE7A78B926FA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7ACD4F4E-F083-4892-AA81-B264CEC10627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7DF62291-428A-4D55-9C6B-EBA0774B6452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95340C06-BBF2-4609-998B-C7B1E08F020D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5C05502E-BE20-45D6-93CD-8C768F163EEB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C8C6AFD6-10AA-4855-8189-7E2D234EF5EC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427FF796-ECD4-482A-A015-3742EF3D8B90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33146BBA-B8EB-4F3E-B8B9-C034ADB3297D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2C6E32EA-72E3-4CD2-AD29-AF83E7EF420B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16130AE6-0071-49EF-8AC2-C64E70625D40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5C811439-93C1-4D8B-8C94-12BD565BCAA2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EFBA6D1D-6291-4D78-B91B-73B438A357B9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B4827490-5E7F-4779-8BCC-E1E21DDF1BBD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BBAC77CF-CE02-4508-9843-0465C88D58A1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A28970A9-EF47-48C3-B46C-52C2A84BE5A9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F9676687-5180-4F99-8442-710B4BD1C87E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3DCE91D6-5074-4D5C-93C2-6987DA196708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AC1846FA-AAC4-4B90-B31D-DCFAB146A841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A7F585EF-541E-40D1-8CC5-239394D59A87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EFC38EFA-3B18-44C1-8E24-C8CACA6952BA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7CC72CFA-76FD-4BF8-9A48-DD7B0D851386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93F6761A-BB1C-49A0-A0EB-5B4E832A9683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26B734FF-5D07-4E9B-9499-184602DBEA09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074B03E1-3D5C-4BF2-ADB9-D438F0D4C669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B934E814-F4EE-40FC-8246-A4BAD22C4F66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BBF64474-7656-43E8-98BB-F9C09B288A38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E132BD0D-44F3-4BCE-ABCF-47DEE0C38086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A80BED80-C0EE-4D08-9857-14E8CA696450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7057F5B0-51F8-46D8-963D-0B5EA68CAECC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62FD104F-4488-4ED7-B318-BC14781E5C05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4D2A3978-F22A-4AA2-8B07-9E7FDEBD1069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17D3FD3B-3397-4764-A20F-4535A3A282D6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4634B061-076B-44E0-9BF1-F76EFC1CFB8E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C94217EA-27C3-4573-91D6-886F4EB21E5D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42B0B761-A255-4BF5-AA75-16CA46C377F1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F118FF74-9F7C-4116-B335-AB020E203501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2213EF90-922A-4901-9531-F1DF78BFB594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38A3161B-5429-4CC2-8D26-964994A64823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EDF6B780-9DD2-4C6B-A4F2-50165942988E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D5AE6A33-8378-49C1-929F-77BDC6125BA8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DF416E6A-2DDF-44A2-AE5D-CA07E85A35E5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9666C865-F0AD-46E7-A12E-8989083B4DD8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0CDC096C-21A7-4B9F-9E3C-1AAC0829A0DC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F66C3DD7-08D3-4309-AAB8-7264B8294212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7625C5A3-8272-465D-86F8-3581756F84DF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501E4E47-7ED0-4841-ADBF-7A4D3FCBB788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36D013C7-8921-4D83-AA6F-4A1F92ADC3FE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A7CCBF9B-DF87-4261-8861-1A30955A5F61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0FF3ECCE-B4F1-4659-A941-1D964463B1BF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40FA22FC-AFE7-4B50-9DA6-6EBE182F86A4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E1CB5EEA-C586-419D-A0F3-EDF5EF7C603C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1BDE2943-9E5B-434E-B634-64105AA3DB7A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BC3940C0-E59A-4D15-8792-1B535BF784A6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96378E75-7921-4934-803E-16364EEBC8F2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E483DC1B-7518-40DE-82B5-DD60CAD382F3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1929C280-EF35-4510-917C-E70D81006A20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59FFF972-9AC4-43B5-BCFA-4EC2AC42CD80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901262B8-AE44-49DE-A527-C17E7269FD2B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2747D491-A5D9-4AD4-B7A5-4D9ACC9DF012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D75E1E07-9823-4571-ACBF-FDAEDDA3F2B0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A7266368-0130-47FC-A2CF-4C6ECC9CA481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F6EDC98A-7A54-459F-9D53-7E0EAF0017AF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4B3BE4AE-1B73-4513-9DB7-EAB8639C687B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85F73E15-E4DA-403E-B393-76396E6897E3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6D1B1DF6-2959-4710-BDB8-E40BA4A24483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9D0482A4-3072-41AF-B52F-FED97C4C5940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81C1A7BA-DA1B-423D-A007-773E628D8A7B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4A5BFBFD-BBF5-4CED-8179-C9684B54758E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4FA9F3A9-37DE-4154-96F6-862A2C117E87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8449D047-7573-4E14-983D-2D180E31C19E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EFCC1B88-C000-439A-ADBA-0E0E55FC9EFA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56DAD651-E62C-41C1-85D2-8F354FAAB408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83A3BDF2-96DF-449F-9C6C-BDB6CD5B9481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9A348AC3-4A81-46F2-88D8-5F5099020B28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C4224412-515D-4206-BBCE-1A816C1E527E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ECDD1E34-079C-4C9D-8070-565549BA2881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37C40CB1-0784-44BF-9A3A-7598DDD35A2E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E5764727-D845-4F0A-A78E-A1DCC74D7278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E0878CF0-85D5-4F9B-BB86-770AB09222FB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F637ED59-10CF-4B40-8801-5FD129AD11C0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A3C021CE-C09B-4B27-888C-F71014C488B2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74B5B0F5-A04A-4C46-9472-972CC9ECEFB7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A004EAE3-ACD5-4BB2-B4B7-B01631A172B0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18EC-98C8-4F30-A1B8-94D853CE20EA}">
  <dimension ref="A1:AK65536"/>
  <sheetViews>
    <sheetView showRuler="0" zoomScaleNormal="100" workbookViewId="0">
      <selection activeCell="D51" sqref="D51:J55"/>
    </sheetView>
  </sheetViews>
  <sheetFormatPr defaultRowHeight="12.75" customHeight="1" x14ac:dyDescent="0.35"/>
  <cols>
    <col min="1" max="1" width="5" style="3" customWidth="1"/>
    <col min="2" max="2" width="5.81640625" style="3" hidden="1" customWidth="1"/>
    <col min="3" max="3" width="22" style="2" customWidth="1"/>
    <col min="4" max="4" width="7" style="2" customWidth="1"/>
    <col min="5" max="5" width="10.1796875" style="2" hidden="1" customWidth="1"/>
    <col min="6" max="11" width="6.453125" style="3" customWidth="1"/>
    <col min="12" max="12" width="6" style="7" customWidth="1"/>
    <col min="13" max="13" width="9.1796875" style="1" customWidth="1"/>
    <col min="14" max="16" width="5.81640625" style="4" customWidth="1"/>
    <col min="17" max="37" width="5.81640625" customWidth="1"/>
  </cols>
  <sheetData>
    <row r="1" spans="1:37" ht="17.25" customHeight="1" x14ac:dyDescent="0.35">
      <c r="A1" s="33" t="s">
        <v>0</v>
      </c>
      <c r="B1" s="33"/>
      <c r="C1" s="33"/>
      <c r="D1" s="33"/>
      <c r="E1" s="34"/>
      <c r="F1" s="33"/>
      <c r="G1" s="33"/>
      <c r="H1" s="33"/>
      <c r="I1" s="33"/>
      <c r="J1" s="33"/>
      <c r="K1" s="33"/>
      <c r="L1" s="33"/>
    </row>
    <row r="2" spans="1:37" ht="17.25" customHeight="1" x14ac:dyDescent="0.35">
      <c r="A2" s="33" t="s">
        <v>1</v>
      </c>
      <c r="B2" s="33"/>
      <c r="C2" s="33"/>
      <c r="D2" s="33"/>
      <c r="E2" s="34"/>
      <c r="F2" s="33"/>
      <c r="G2" s="33"/>
      <c r="H2" s="33"/>
      <c r="I2" s="33"/>
      <c r="J2" s="33"/>
      <c r="K2" s="33"/>
      <c r="L2" s="33"/>
    </row>
    <row r="3" spans="1:37" ht="20" customHeight="1" x14ac:dyDescent="0.3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37" ht="12.75" customHeight="1" x14ac:dyDescent="0.35">
      <c r="A4" s="34" t="s">
        <v>1416</v>
      </c>
      <c r="B4" s="34"/>
      <c r="C4" s="34"/>
      <c r="D4" s="34"/>
      <c r="E4" s="34"/>
      <c r="F4" s="34"/>
      <c r="G4" s="34"/>
      <c r="H4" s="34"/>
      <c r="I4" s="34"/>
      <c r="J4" s="34"/>
      <c r="K4" s="5"/>
      <c r="L4" s="5"/>
    </row>
    <row r="5" spans="1:37" ht="12.75" customHeight="1" x14ac:dyDescent="0.35">
      <c r="A5" s="1"/>
      <c r="B5" s="6"/>
      <c r="C5" s="1"/>
      <c r="D5" s="1"/>
      <c r="E5" s="1"/>
      <c r="F5" s="33"/>
      <c r="G5" s="33"/>
      <c r="H5" s="33"/>
      <c r="I5" s="33"/>
      <c r="J5" s="33"/>
      <c r="L5" s="7" t="str">
        <f>IF(K5&lt;&gt;"",IF(COUNTIF(F5:K5,"CĐ")+COUNTIF(F5:K5,"CD")+COUNTIF(F5:K5,"C")&gt;=1,"CĐ","Đ"),"")</f>
        <v/>
      </c>
    </row>
    <row r="6" spans="1:37" ht="30" customHeight="1" x14ac:dyDescent="0.35">
      <c r="A6" s="36" t="s">
        <v>4</v>
      </c>
      <c r="B6" s="36" t="s">
        <v>5</v>
      </c>
      <c r="C6" s="36" t="s">
        <v>6</v>
      </c>
      <c r="D6" s="36"/>
      <c r="E6" s="36" t="s">
        <v>7</v>
      </c>
      <c r="F6" s="36" t="s">
        <v>8</v>
      </c>
      <c r="G6" s="36"/>
      <c r="H6" s="36"/>
      <c r="I6" s="36" t="s">
        <v>8</v>
      </c>
      <c r="J6" s="36" t="s">
        <v>9</v>
      </c>
      <c r="K6" s="36" t="s">
        <v>10</v>
      </c>
      <c r="L6" s="38" t="s">
        <v>11</v>
      </c>
      <c r="M6" s="36" t="s">
        <v>12</v>
      </c>
      <c r="N6" s="33"/>
      <c r="O6" s="35"/>
      <c r="P6" s="35"/>
    </row>
    <row r="7" spans="1:37" ht="12.75" customHeight="1" x14ac:dyDescent="0.35">
      <c r="A7" s="36"/>
      <c r="B7" s="36"/>
      <c r="C7" s="36"/>
      <c r="D7" s="36"/>
      <c r="E7" s="36"/>
      <c r="F7" s="14" t="s">
        <v>13</v>
      </c>
      <c r="G7" s="14" t="s">
        <v>14</v>
      </c>
      <c r="H7" s="14" t="s">
        <v>15</v>
      </c>
      <c r="I7" s="14" t="s">
        <v>16</v>
      </c>
      <c r="J7" s="36" t="s">
        <v>17</v>
      </c>
      <c r="K7" s="36" t="s">
        <v>18</v>
      </c>
      <c r="L7" s="38"/>
      <c r="M7" s="37"/>
      <c r="N7" s="33"/>
      <c r="O7" s="35"/>
      <c r="P7" s="35"/>
    </row>
    <row r="8" spans="1:37" ht="12.75" customHeight="1" x14ac:dyDescent="0.35">
      <c r="A8" s="20">
        <v>1</v>
      </c>
      <c r="B8" s="13">
        <v>2203722505</v>
      </c>
      <c r="C8" s="24" t="s">
        <v>240</v>
      </c>
      <c r="D8" s="22" t="s">
        <v>24</v>
      </c>
      <c r="E8" s="13" t="s">
        <v>1417</v>
      </c>
      <c r="F8" s="13">
        <v>10</v>
      </c>
      <c r="G8" s="13">
        <v>8</v>
      </c>
      <c r="H8" s="13"/>
      <c r="I8" s="16"/>
      <c r="J8" s="16">
        <v>9</v>
      </c>
      <c r="K8" s="16">
        <v>7</v>
      </c>
      <c r="L8" s="18">
        <f t="shared" ref="L8:L49" si="0">IF((COUNT(F8:I8)+COUNT(J8:J8)*2+COUNT(K8:K8)*3),ROUND((SUM(F8:I8)+SUM(J8:J8)*2+SUM(K8:K8)*3)/(COUNT(F8:I8)+COUNT(J8:J8)*2+COUNT(K8:K8)*3),1),"")</f>
        <v>8.1</v>
      </c>
      <c r="M8" s="16" t="s">
        <v>22</v>
      </c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2.75" customHeight="1" x14ac:dyDescent="0.35">
      <c r="A9" s="20">
        <v>2</v>
      </c>
      <c r="B9" s="13">
        <v>2203722506</v>
      </c>
      <c r="C9" s="24" t="s">
        <v>1418</v>
      </c>
      <c r="D9" s="22" t="s">
        <v>535</v>
      </c>
      <c r="E9" s="13" t="s">
        <v>1419</v>
      </c>
      <c r="F9" s="13">
        <v>10</v>
      </c>
      <c r="G9" s="13">
        <v>8</v>
      </c>
      <c r="H9" s="13"/>
      <c r="I9" s="16"/>
      <c r="J9" s="16">
        <v>10</v>
      </c>
      <c r="K9" s="16">
        <v>10</v>
      </c>
      <c r="L9" s="18">
        <f t="shared" si="0"/>
        <v>9.6999999999999993</v>
      </c>
      <c r="M9" s="16" t="s">
        <v>22</v>
      </c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.75" customHeight="1" x14ac:dyDescent="0.35">
      <c r="A10" s="20">
        <v>3</v>
      </c>
      <c r="B10" s="13">
        <v>2203722507</v>
      </c>
      <c r="C10" s="24" t="s">
        <v>1367</v>
      </c>
      <c r="D10" s="22" t="s">
        <v>157</v>
      </c>
      <c r="E10" s="13" t="s">
        <v>905</v>
      </c>
      <c r="F10" s="13">
        <v>10</v>
      </c>
      <c r="G10" s="13">
        <v>10</v>
      </c>
      <c r="H10" s="13"/>
      <c r="I10" s="16"/>
      <c r="J10" s="16">
        <v>8</v>
      </c>
      <c r="K10" s="16">
        <v>7</v>
      </c>
      <c r="L10" s="18">
        <f t="shared" si="0"/>
        <v>8.1</v>
      </c>
      <c r="M10" s="16" t="s">
        <v>22</v>
      </c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2.75" customHeight="1" x14ac:dyDescent="0.35">
      <c r="A11" s="20">
        <v>4</v>
      </c>
      <c r="B11" s="13">
        <v>2508937507</v>
      </c>
      <c r="C11" s="24" t="s">
        <v>49</v>
      </c>
      <c r="D11" s="22" t="s">
        <v>157</v>
      </c>
      <c r="E11" s="13" t="s">
        <v>1420</v>
      </c>
      <c r="F11" s="13">
        <v>10</v>
      </c>
      <c r="G11" s="13">
        <v>8.5</v>
      </c>
      <c r="H11" s="13"/>
      <c r="I11" s="16"/>
      <c r="J11" s="16">
        <v>9</v>
      </c>
      <c r="K11" s="16">
        <v>6</v>
      </c>
      <c r="L11" s="18">
        <f t="shared" si="0"/>
        <v>7.8</v>
      </c>
      <c r="M11" s="16" t="s">
        <v>22</v>
      </c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2.75" customHeight="1" x14ac:dyDescent="0.35">
      <c r="A12" s="21">
        <v>5</v>
      </c>
      <c r="B12" s="15">
        <v>2203722508</v>
      </c>
      <c r="C12" s="25" t="s">
        <v>1421</v>
      </c>
      <c r="D12" s="23" t="s">
        <v>1135</v>
      </c>
      <c r="E12" s="15" t="s">
        <v>1422</v>
      </c>
      <c r="F12" s="15">
        <v>10</v>
      </c>
      <c r="G12" s="15">
        <v>9.5</v>
      </c>
      <c r="H12" s="15"/>
      <c r="I12" s="17"/>
      <c r="J12" s="17">
        <v>9</v>
      </c>
      <c r="K12" s="17">
        <v>8.5</v>
      </c>
      <c r="L12" s="19">
        <f t="shared" si="0"/>
        <v>9</v>
      </c>
      <c r="M12" s="17" t="s">
        <v>22</v>
      </c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2.75" customHeight="1" x14ac:dyDescent="0.35">
      <c r="A13" s="20">
        <v>6</v>
      </c>
      <c r="B13" s="13">
        <v>2203722509</v>
      </c>
      <c r="C13" s="24" t="s">
        <v>1423</v>
      </c>
      <c r="D13" s="22" t="s">
        <v>168</v>
      </c>
      <c r="E13" s="13" t="s">
        <v>1424</v>
      </c>
      <c r="F13" s="13">
        <v>10</v>
      </c>
      <c r="G13" s="13">
        <v>9.5</v>
      </c>
      <c r="H13" s="13"/>
      <c r="I13" s="16"/>
      <c r="J13" s="16">
        <v>10</v>
      </c>
      <c r="K13" s="16">
        <v>10</v>
      </c>
      <c r="L13" s="18">
        <f t="shared" si="0"/>
        <v>9.9</v>
      </c>
      <c r="M13" s="16" t="s">
        <v>22</v>
      </c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2.75" customHeight="1" x14ac:dyDescent="0.35">
      <c r="A14" s="20">
        <v>7</v>
      </c>
      <c r="B14" s="13">
        <v>2203880824</v>
      </c>
      <c r="C14" s="24" t="s">
        <v>1425</v>
      </c>
      <c r="D14" s="22" t="s">
        <v>147</v>
      </c>
      <c r="E14" s="13" t="s">
        <v>941</v>
      </c>
      <c r="F14" s="13">
        <v>10</v>
      </c>
      <c r="G14" s="13">
        <v>8.5</v>
      </c>
      <c r="H14" s="13"/>
      <c r="I14" s="16"/>
      <c r="J14" s="16">
        <v>9</v>
      </c>
      <c r="K14" s="16">
        <v>10</v>
      </c>
      <c r="L14" s="18">
        <f t="shared" si="0"/>
        <v>9.5</v>
      </c>
      <c r="M14" s="16" t="s">
        <v>22</v>
      </c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2.75" customHeight="1" x14ac:dyDescent="0.35">
      <c r="A15" s="20">
        <v>8</v>
      </c>
      <c r="B15" s="13">
        <v>2203722510</v>
      </c>
      <c r="C15" s="24" t="s">
        <v>1426</v>
      </c>
      <c r="D15" s="22" t="s">
        <v>1427</v>
      </c>
      <c r="E15" s="13" t="s">
        <v>1428</v>
      </c>
      <c r="F15" s="13">
        <v>10</v>
      </c>
      <c r="G15" s="13">
        <v>8</v>
      </c>
      <c r="H15" s="13"/>
      <c r="I15" s="16"/>
      <c r="J15" s="16">
        <v>10</v>
      </c>
      <c r="K15" s="16">
        <v>9.5</v>
      </c>
      <c r="L15" s="18">
        <f t="shared" si="0"/>
        <v>9.5</v>
      </c>
      <c r="M15" s="16" t="s">
        <v>22</v>
      </c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2.75" customHeight="1" x14ac:dyDescent="0.35">
      <c r="A16" s="20">
        <v>9</v>
      </c>
      <c r="B16" s="13">
        <v>2203269283</v>
      </c>
      <c r="C16" s="24" t="s">
        <v>1429</v>
      </c>
      <c r="D16" s="22" t="s">
        <v>624</v>
      </c>
      <c r="E16" s="13" t="s">
        <v>1420</v>
      </c>
      <c r="F16" s="13">
        <v>10</v>
      </c>
      <c r="G16" s="13">
        <v>9.5</v>
      </c>
      <c r="H16" s="13"/>
      <c r="I16" s="16"/>
      <c r="J16" s="16">
        <v>9.5</v>
      </c>
      <c r="K16" s="16">
        <v>9.5</v>
      </c>
      <c r="L16" s="18">
        <f t="shared" si="0"/>
        <v>9.6</v>
      </c>
      <c r="M16" s="16" t="s">
        <v>22</v>
      </c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2.75" customHeight="1" x14ac:dyDescent="0.35">
      <c r="A17" s="21">
        <v>10</v>
      </c>
      <c r="B17" s="15">
        <v>2203722511</v>
      </c>
      <c r="C17" s="25" t="s">
        <v>1430</v>
      </c>
      <c r="D17" s="23" t="s">
        <v>1431</v>
      </c>
      <c r="E17" s="15" t="s">
        <v>1432</v>
      </c>
      <c r="F17" s="15">
        <v>9</v>
      </c>
      <c r="G17" s="15">
        <v>8</v>
      </c>
      <c r="H17" s="15"/>
      <c r="I17" s="17"/>
      <c r="J17" s="17">
        <v>10</v>
      </c>
      <c r="K17" s="17">
        <v>10</v>
      </c>
      <c r="L17" s="19">
        <f t="shared" si="0"/>
        <v>9.6</v>
      </c>
      <c r="M17" s="17" t="s">
        <v>22</v>
      </c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2.75" customHeight="1" x14ac:dyDescent="0.35">
      <c r="A18" s="20">
        <v>11</v>
      </c>
      <c r="B18" s="13">
        <v>2203722512</v>
      </c>
      <c r="C18" s="24" t="s">
        <v>1433</v>
      </c>
      <c r="D18" s="22" t="s">
        <v>961</v>
      </c>
      <c r="E18" s="13" t="s">
        <v>1434</v>
      </c>
      <c r="F18" s="13">
        <v>9</v>
      </c>
      <c r="G18" s="13">
        <v>9.5</v>
      </c>
      <c r="H18" s="13"/>
      <c r="I18" s="16"/>
      <c r="J18" s="16">
        <v>9.5</v>
      </c>
      <c r="K18" s="16">
        <v>9</v>
      </c>
      <c r="L18" s="18">
        <f t="shared" si="0"/>
        <v>9.1999999999999993</v>
      </c>
      <c r="M18" s="16" t="s">
        <v>22</v>
      </c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2.75" customHeight="1" x14ac:dyDescent="0.35">
      <c r="A19" s="20">
        <v>12</v>
      </c>
      <c r="B19" s="13">
        <v>2203722513</v>
      </c>
      <c r="C19" s="24" t="s">
        <v>1435</v>
      </c>
      <c r="D19" s="22" t="s">
        <v>299</v>
      </c>
      <c r="E19" s="13" t="s">
        <v>1436</v>
      </c>
      <c r="F19" s="13">
        <v>10</v>
      </c>
      <c r="G19" s="13">
        <v>8</v>
      </c>
      <c r="H19" s="13"/>
      <c r="I19" s="16"/>
      <c r="J19" s="16">
        <v>7.5</v>
      </c>
      <c r="K19" s="16">
        <v>7</v>
      </c>
      <c r="L19" s="18">
        <f t="shared" si="0"/>
        <v>7.7</v>
      </c>
      <c r="M19" s="16" t="s">
        <v>22</v>
      </c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2.75" customHeight="1" x14ac:dyDescent="0.35">
      <c r="A20" s="20">
        <v>13</v>
      </c>
      <c r="B20" s="13">
        <v>2203722515</v>
      </c>
      <c r="C20" s="24" t="s">
        <v>1106</v>
      </c>
      <c r="D20" s="22" t="s">
        <v>69</v>
      </c>
      <c r="E20" s="13" t="s">
        <v>860</v>
      </c>
      <c r="F20" s="13">
        <v>10</v>
      </c>
      <c r="G20" s="13">
        <v>7</v>
      </c>
      <c r="H20" s="13"/>
      <c r="I20" s="16"/>
      <c r="J20" s="16">
        <v>9</v>
      </c>
      <c r="K20" s="16">
        <v>8</v>
      </c>
      <c r="L20" s="18">
        <f t="shared" si="0"/>
        <v>8.4</v>
      </c>
      <c r="M20" s="16" t="s">
        <v>22</v>
      </c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2.75" customHeight="1" x14ac:dyDescent="0.35">
      <c r="A21" s="20">
        <v>14</v>
      </c>
      <c r="B21" s="13">
        <v>2203722516</v>
      </c>
      <c r="C21" s="24" t="s">
        <v>1181</v>
      </c>
      <c r="D21" s="22" t="s">
        <v>568</v>
      </c>
      <c r="E21" s="13" t="s">
        <v>1272</v>
      </c>
      <c r="F21" s="13">
        <v>8</v>
      </c>
      <c r="G21" s="13">
        <v>9.5</v>
      </c>
      <c r="H21" s="13"/>
      <c r="I21" s="16"/>
      <c r="J21" s="16">
        <v>8</v>
      </c>
      <c r="K21" s="16">
        <v>8.5</v>
      </c>
      <c r="L21" s="18">
        <f t="shared" si="0"/>
        <v>8.4</v>
      </c>
      <c r="M21" s="16" t="s">
        <v>22</v>
      </c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2.75" customHeight="1" x14ac:dyDescent="0.35">
      <c r="A22" s="21">
        <v>15</v>
      </c>
      <c r="B22" s="15">
        <v>2203722517</v>
      </c>
      <c r="C22" s="25" t="s">
        <v>1437</v>
      </c>
      <c r="D22" s="23" t="s">
        <v>1438</v>
      </c>
      <c r="E22" s="15" t="s">
        <v>1439</v>
      </c>
      <c r="F22" s="15">
        <v>10</v>
      </c>
      <c r="G22" s="15">
        <v>8</v>
      </c>
      <c r="H22" s="15"/>
      <c r="I22" s="17"/>
      <c r="J22" s="17">
        <v>8.5</v>
      </c>
      <c r="K22" s="17">
        <v>7.5</v>
      </c>
      <c r="L22" s="19">
        <f t="shared" si="0"/>
        <v>8.1999999999999993</v>
      </c>
      <c r="M22" s="17" t="s">
        <v>22</v>
      </c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2.75" customHeight="1" x14ac:dyDescent="0.35">
      <c r="A23" s="20">
        <v>16</v>
      </c>
      <c r="B23" s="13">
        <v>2203722518</v>
      </c>
      <c r="C23" s="24" t="s">
        <v>61</v>
      </c>
      <c r="D23" s="22" t="s">
        <v>1438</v>
      </c>
      <c r="E23" s="13" t="s">
        <v>1440</v>
      </c>
      <c r="F23" s="13">
        <v>10</v>
      </c>
      <c r="G23" s="13">
        <v>7</v>
      </c>
      <c r="H23" s="13"/>
      <c r="I23" s="16"/>
      <c r="J23" s="16">
        <v>7.5</v>
      </c>
      <c r="K23" s="16">
        <v>7</v>
      </c>
      <c r="L23" s="18">
        <f t="shared" si="0"/>
        <v>7.6</v>
      </c>
      <c r="M23" s="16" t="s">
        <v>22</v>
      </c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2.75" customHeight="1" x14ac:dyDescent="0.35">
      <c r="A24" s="20">
        <v>17</v>
      </c>
      <c r="B24" s="13">
        <v>2203722520</v>
      </c>
      <c r="C24" s="24" t="s">
        <v>1441</v>
      </c>
      <c r="D24" s="22" t="s">
        <v>896</v>
      </c>
      <c r="E24" s="13" t="s">
        <v>1417</v>
      </c>
      <c r="F24" s="13">
        <v>8</v>
      </c>
      <c r="G24" s="13">
        <v>7</v>
      </c>
      <c r="H24" s="13"/>
      <c r="I24" s="16"/>
      <c r="J24" s="16">
        <v>8</v>
      </c>
      <c r="K24" s="16">
        <v>8.5</v>
      </c>
      <c r="L24" s="18">
        <f t="shared" si="0"/>
        <v>8.1</v>
      </c>
      <c r="M24" s="16" t="s">
        <v>22</v>
      </c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2.75" customHeight="1" x14ac:dyDescent="0.35">
      <c r="A25" s="20">
        <v>18</v>
      </c>
      <c r="B25" s="13">
        <v>2203722521</v>
      </c>
      <c r="C25" s="24" t="s">
        <v>1442</v>
      </c>
      <c r="D25" s="22" t="s">
        <v>98</v>
      </c>
      <c r="E25" s="13" t="s">
        <v>1443</v>
      </c>
      <c r="F25" s="13">
        <v>9</v>
      </c>
      <c r="G25" s="13">
        <v>7</v>
      </c>
      <c r="H25" s="13"/>
      <c r="I25" s="16"/>
      <c r="J25" s="16">
        <v>9</v>
      </c>
      <c r="K25" s="16">
        <v>10</v>
      </c>
      <c r="L25" s="18">
        <f t="shared" si="0"/>
        <v>9.1</v>
      </c>
      <c r="M25" s="16" t="s">
        <v>22</v>
      </c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2.75" customHeight="1" x14ac:dyDescent="0.35">
      <c r="A26" s="20">
        <v>19</v>
      </c>
      <c r="B26" s="13">
        <v>2203722522</v>
      </c>
      <c r="C26" s="24" t="s">
        <v>1444</v>
      </c>
      <c r="D26" s="22" t="s">
        <v>105</v>
      </c>
      <c r="E26" s="13" t="s">
        <v>516</v>
      </c>
      <c r="F26" s="13">
        <v>10</v>
      </c>
      <c r="G26" s="13">
        <v>9.5</v>
      </c>
      <c r="H26" s="13"/>
      <c r="I26" s="16"/>
      <c r="J26" s="16">
        <v>10</v>
      </c>
      <c r="K26" s="16">
        <v>10</v>
      </c>
      <c r="L26" s="18">
        <f t="shared" si="0"/>
        <v>9.9</v>
      </c>
      <c r="M26" s="16" t="s">
        <v>22</v>
      </c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2.75" customHeight="1" x14ac:dyDescent="0.35">
      <c r="A27" s="21">
        <v>20</v>
      </c>
      <c r="B27" s="15">
        <v>2203722524</v>
      </c>
      <c r="C27" s="25" t="s">
        <v>1445</v>
      </c>
      <c r="D27" s="23" t="s">
        <v>111</v>
      </c>
      <c r="E27" s="15" t="s">
        <v>1446</v>
      </c>
      <c r="F27" s="15">
        <v>10</v>
      </c>
      <c r="G27" s="15">
        <v>8</v>
      </c>
      <c r="H27" s="15"/>
      <c r="I27" s="17"/>
      <c r="J27" s="17">
        <v>8.5</v>
      </c>
      <c r="K27" s="17">
        <v>10</v>
      </c>
      <c r="L27" s="19">
        <f t="shared" si="0"/>
        <v>9.3000000000000007</v>
      </c>
      <c r="M27" s="17" t="s">
        <v>22</v>
      </c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2.75" customHeight="1" x14ac:dyDescent="0.35">
      <c r="A28" s="20">
        <v>21</v>
      </c>
      <c r="B28" s="13">
        <v>2306004478</v>
      </c>
      <c r="C28" s="24" t="s">
        <v>1447</v>
      </c>
      <c r="D28" s="22" t="s">
        <v>111</v>
      </c>
      <c r="E28" s="13" t="s">
        <v>1448</v>
      </c>
      <c r="F28" s="13">
        <v>9</v>
      </c>
      <c r="G28" s="13">
        <v>10</v>
      </c>
      <c r="H28" s="13"/>
      <c r="I28" s="16"/>
      <c r="J28" s="16">
        <v>9</v>
      </c>
      <c r="K28" s="16">
        <v>8.5</v>
      </c>
      <c r="L28" s="18">
        <f t="shared" si="0"/>
        <v>8.9</v>
      </c>
      <c r="M28" s="16" t="s">
        <v>22</v>
      </c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2.75" customHeight="1" x14ac:dyDescent="0.35">
      <c r="A29" s="20">
        <v>22</v>
      </c>
      <c r="B29" s="13">
        <v>2203722525</v>
      </c>
      <c r="C29" s="24" t="s">
        <v>1449</v>
      </c>
      <c r="D29" s="22" t="s">
        <v>657</v>
      </c>
      <c r="E29" s="13" t="s">
        <v>1450</v>
      </c>
      <c r="F29" s="13">
        <v>10</v>
      </c>
      <c r="G29" s="13">
        <v>9.5</v>
      </c>
      <c r="H29" s="13"/>
      <c r="I29" s="16"/>
      <c r="J29" s="16">
        <v>9</v>
      </c>
      <c r="K29" s="16">
        <v>9.5</v>
      </c>
      <c r="L29" s="18">
        <f t="shared" si="0"/>
        <v>9.4</v>
      </c>
      <c r="M29" s="16" t="s">
        <v>22</v>
      </c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2.75" customHeight="1" x14ac:dyDescent="0.35">
      <c r="A30" s="20">
        <v>23</v>
      </c>
      <c r="B30" s="13">
        <v>2203722526</v>
      </c>
      <c r="C30" s="24" t="s">
        <v>1451</v>
      </c>
      <c r="D30" s="22" t="s">
        <v>117</v>
      </c>
      <c r="E30" s="13" t="s">
        <v>1452</v>
      </c>
      <c r="F30" s="13">
        <v>8</v>
      </c>
      <c r="G30" s="13">
        <v>7.5</v>
      </c>
      <c r="H30" s="13"/>
      <c r="I30" s="16"/>
      <c r="J30" s="16">
        <v>9</v>
      </c>
      <c r="K30" s="16">
        <v>6</v>
      </c>
      <c r="L30" s="18">
        <f t="shared" si="0"/>
        <v>7.4</v>
      </c>
      <c r="M30" s="16" t="s">
        <v>22</v>
      </c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2.75" customHeight="1" x14ac:dyDescent="0.35">
      <c r="A31" s="20">
        <v>24</v>
      </c>
      <c r="B31" s="13">
        <v>2203722527</v>
      </c>
      <c r="C31" s="24" t="s">
        <v>1379</v>
      </c>
      <c r="D31" s="22" t="s">
        <v>660</v>
      </c>
      <c r="E31" s="13" t="s">
        <v>1392</v>
      </c>
      <c r="F31" s="13">
        <v>7</v>
      </c>
      <c r="G31" s="13">
        <v>0</v>
      </c>
      <c r="H31" s="13"/>
      <c r="I31" s="16"/>
      <c r="J31" s="16">
        <v>8.5</v>
      </c>
      <c r="K31" s="16">
        <v>7</v>
      </c>
      <c r="L31" s="18">
        <f t="shared" si="0"/>
        <v>6.4</v>
      </c>
      <c r="M31" s="16" t="s">
        <v>42</v>
      </c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2.75" customHeight="1" x14ac:dyDescent="0.35">
      <c r="A32" s="21">
        <v>25</v>
      </c>
      <c r="B32" s="15">
        <v>2203722528</v>
      </c>
      <c r="C32" s="25" t="s">
        <v>1453</v>
      </c>
      <c r="D32" s="23" t="s">
        <v>227</v>
      </c>
      <c r="E32" s="15" t="s">
        <v>1454</v>
      </c>
      <c r="F32" s="15">
        <v>10</v>
      </c>
      <c r="G32" s="15">
        <v>7.5</v>
      </c>
      <c r="H32" s="15"/>
      <c r="I32" s="17"/>
      <c r="J32" s="17">
        <v>8.5</v>
      </c>
      <c r="K32" s="17">
        <v>7</v>
      </c>
      <c r="L32" s="19">
        <f t="shared" si="0"/>
        <v>7.9</v>
      </c>
      <c r="M32" s="17" t="s">
        <v>22</v>
      </c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2.75" customHeight="1" x14ac:dyDescent="0.35">
      <c r="A33" s="20">
        <v>26</v>
      </c>
      <c r="B33" s="13">
        <v>2203722529</v>
      </c>
      <c r="C33" s="24" t="s">
        <v>1430</v>
      </c>
      <c r="D33" s="22" t="s">
        <v>424</v>
      </c>
      <c r="E33" s="13" t="s">
        <v>1432</v>
      </c>
      <c r="F33" s="13">
        <v>9</v>
      </c>
      <c r="G33" s="13">
        <v>8</v>
      </c>
      <c r="H33" s="13"/>
      <c r="I33" s="16"/>
      <c r="J33" s="16">
        <v>9.5</v>
      </c>
      <c r="K33" s="16">
        <v>9.5</v>
      </c>
      <c r="L33" s="18">
        <f t="shared" si="0"/>
        <v>9.1999999999999993</v>
      </c>
      <c r="M33" s="16" t="s">
        <v>22</v>
      </c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2.75" customHeight="1" x14ac:dyDescent="0.35">
      <c r="A34" s="20">
        <v>27</v>
      </c>
      <c r="B34" s="13">
        <v>2203722530</v>
      </c>
      <c r="C34" s="24" t="s">
        <v>996</v>
      </c>
      <c r="D34" s="22" t="s">
        <v>597</v>
      </c>
      <c r="E34" s="13" t="s">
        <v>1455</v>
      </c>
      <c r="F34" s="13">
        <v>9</v>
      </c>
      <c r="G34" s="13">
        <v>8</v>
      </c>
      <c r="H34" s="13"/>
      <c r="I34" s="16"/>
      <c r="J34" s="16">
        <v>6.5</v>
      </c>
      <c r="K34" s="16">
        <v>7</v>
      </c>
      <c r="L34" s="18">
        <f t="shared" si="0"/>
        <v>7.3</v>
      </c>
      <c r="M34" s="16" t="s">
        <v>22</v>
      </c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2.75" customHeight="1" x14ac:dyDescent="0.35">
      <c r="A35" s="20">
        <v>28</v>
      </c>
      <c r="B35" s="13">
        <v>2203722532</v>
      </c>
      <c r="C35" s="24" t="s">
        <v>571</v>
      </c>
      <c r="D35" s="22" t="s">
        <v>128</v>
      </c>
      <c r="E35" s="13" t="s">
        <v>516</v>
      </c>
      <c r="F35" s="13">
        <v>10</v>
      </c>
      <c r="G35" s="13">
        <v>8</v>
      </c>
      <c r="H35" s="13"/>
      <c r="I35" s="16"/>
      <c r="J35" s="16">
        <v>9</v>
      </c>
      <c r="K35" s="16">
        <v>7</v>
      </c>
      <c r="L35" s="18">
        <f t="shared" si="0"/>
        <v>8.1</v>
      </c>
      <c r="M35" s="16" t="s">
        <v>22</v>
      </c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2.75" customHeight="1" x14ac:dyDescent="0.35">
      <c r="A36" s="20">
        <v>29</v>
      </c>
      <c r="B36" s="13">
        <v>2203722533</v>
      </c>
      <c r="C36" s="24" t="s">
        <v>1456</v>
      </c>
      <c r="D36" s="22" t="s">
        <v>628</v>
      </c>
      <c r="E36" s="13" t="s">
        <v>1457</v>
      </c>
      <c r="F36" s="13">
        <v>9</v>
      </c>
      <c r="G36" s="13">
        <v>9.5</v>
      </c>
      <c r="H36" s="13"/>
      <c r="I36" s="16"/>
      <c r="J36" s="16">
        <v>10</v>
      </c>
      <c r="K36" s="16">
        <v>10</v>
      </c>
      <c r="L36" s="18">
        <f t="shared" si="0"/>
        <v>9.8000000000000007</v>
      </c>
      <c r="M36" s="16" t="s">
        <v>22</v>
      </c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2.75" customHeight="1" x14ac:dyDescent="0.35">
      <c r="A37" s="21">
        <v>30</v>
      </c>
      <c r="B37" s="15">
        <v>2203722535</v>
      </c>
      <c r="C37" s="25" t="s">
        <v>1458</v>
      </c>
      <c r="D37" s="23" t="s">
        <v>1117</v>
      </c>
      <c r="E37" s="15" t="s">
        <v>1459</v>
      </c>
      <c r="F37" s="15">
        <v>10</v>
      </c>
      <c r="G37" s="15">
        <v>10</v>
      </c>
      <c r="H37" s="15"/>
      <c r="I37" s="17"/>
      <c r="J37" s="17">
        <v>9</v>
      </c>
      <c r="K37" s="17">
        <v>10</v>
      </c>
      <c r="L37" s="19">
        <f t="shared" si="0"/>
        <v>9.6999999999999993</v>
      </c>
      <c r="M37" s="17" t="s">
        <v>22</v>
      </c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2.75" customHeight="1" x14ac:dyDescent="0.35">
      <c r="A38" s="20">
        <v>31</v>
      </c>
      <c r="B38" s="13">
        <v>2203722534</v>
      </c>
      <c r="C38" s="24" t="s">
        <v>1460</v>
      </c>
      <c r="D38" s="22" t="s">
        <v>345</v>
      </c>
      <c r="E38" s="13" t="s">
        <v>1461</v>
      </c>
      <c r="F38" s="13">
        <v>10</v>
      </c>
      <c r="G38" s="13">
        <v>8</v>
      </c>
      <c r="H38" s="13"/>
      <c r="I38" s="16"/>
      <c r="J38" s="16">
        <v>8.5</v>
      </c>
      <c r="K38" s="16">
        <v>10</v>
      </c>
      <c r="L38" s="18">
        <f t="shared" si="0"/>
        <v>9.3000000000000007</v>
      </c>
      <c r="M38" s="16" t="s">
        <v>22</v>
      </c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2.75" customHeight="1" x14ac:dyDescent="0.35">
      <c r="A39" s="20">
        <v>32</v>
      </c>
      <c r="B39" s="13">
        <v>2201693684</v>
      </c>
      <c r="C39" s="24" t="s">
        <v>1166</v>
      </c>
      <c r="D39" s="22" t="s">
        <v>686</v>
      </c>
      <c r="E39" s="13" t="s">
        <v>1462</v>
      </c>
      <c r="F39" s="13">
        <v>9</v>
      </c>
      <c r="G39" s="13">
        <v>7.5</v>
      </c>
      <c r="H39" s="13"/>
      <c r="I39" s="16"/>
      <c r="J39" s="16">
        <v>9.5</v>
      </c>
      <c r="K39" s="16">
        <v>8.5</v>
      </c>
      <c r="L39" s="18">
        <f t="shared" si="0"/>
        <v>8.6999999999999993</v>
      </c>
      <c r="M39" s="16" t="s">
        <v>22</v>
      </c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2.75" customHeight="1" x14ac:dyDescent="0.35">
      <c r="A40" s="20">
        <v>33</v>
      </c>
      <c r="B40" s="13">
        <v>2203722536</v>
      </c>
      <c r="C40" s="24" t="s">
        <v>301</v>
      </c>
      <c r="D40" s="22" t="s">
        <v>349</v>
      </c>
      <c r="E40" s="13" t="s">
        <v>1463</v>
      </c>
      <c r="F40" s="13">
        <v>10</v>
      </c>
      <c r="G40" s="13">
        <v>9</v>
      </c>
      <c r="H40" s="13"/>
      <c r="I40" s="16"/>
      <c r="J40" s="16">
        <v>10</v>
      </c>
      <c r="K40" s="16">
        <v>9</v>
      </c>
      <c r="L40" s="18">
        <f t="shared" si="0"/>
        <v>9.4</v>
      </c>
      <c r="M40" s="16" t="s">
        <v>22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2.75" customHeight="1" x14ac:dyDescent="0.35">
      <c r="A41" s="20">
        <v>34</v>
      </c>
      <c r="B41" s="13">
        <v>2203862686</v>
      </c>
      <c r="C41" s="24" t="s">
        <v>1464</v>
      </c>
      <c r="D41" s="22" t="s">
        <v>139</v>
      </c>
      <c r="E41" s="13" t="s">
        <v>1242</v>
      </c>
      <c r="F41" s="13">
        <v>9</v>
      </c>
      <c r="G41" s="13">
        <v>8.5</v>
      </c>
      <c r="H41" s="13"/>
      <c r="I41" s="16"/>
      <c r="J41" s="16">
        <v>9</v>
      </c>
      <c r="K41" s="16">
        <v>9</v>
      </c>
      <c r="L41" s="18">
        <f t="shared" si="0"/>
        <v>8.9</v>
      </c>
      <c r="M41" s="16" t="s">
        <v>22</v>
      </c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2.75" customHeight="1" x14ac:dyDescent="0.35">
      <c r="A42" s="21">
        <v>35</v>
      </c>
      <c r="B42" s="15">
        <v>2203722537</v>
      </c>
      <c r="C42" s="25" t="s">
        <v>1465</v>
      </c>
      <c r="D42" s="23" t="s">
        <v>139</v>
      </c>
      <c r="E42" s="15" t="s">
        <v>1384</v>
      </c>
      <c r="F42" s="15">
        <v>10</v>
      </c>
      <c r="G42" s="15">
        <v>7.5</v>
      </c>
      <c r="H42" s="15"/>
      <c r="I42" s="17"/>
      <c r="J42" s="17">
        <v>9</v>
      </c>
      <c r="K42" s="17">
        <v>9</v>
      </c>
      <c r="L42" s="19">
        <f t="shared" si="0"/>
        <v>8.9</v>
      </c>
      <c r="M42" s="17" t="s">
        <v>22</v>
      </c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2.75" customHeight="1" x14ac:dyDescent="0.35">
      <c r="A43" s="20">
        <v>36</v>
      </c>
      <c r="B43" s="13">
        <v>2203722539</v>
      </c>
      <c r="C43" s="24" t="s">
        <v>1466</v>
      </c>
      <c r="D43" s="22" t="s">
        <v>139</v>
      </c>
      <c r="E43" s="13" t="s">
        <v>1400</v>
      </c>
      <c r="F43" s="13">
        <v>8</v>
      </c>
      <c r="G43" s="13">
        <v>7</v>
      </c>
      <c r="H43" s="13"/>
      <c r="I43" s="16"/>
      <c r="J43" s="16">
        <v>9</v>
      </c>
      <c r="K43" s="16">
        <v>9</v>
      </c>
      <c r="L43" s="18">
        <f t="shared" si="0"/>
        <v>8.6</v>
      </c>
      <c r="M43" s="16" t="s">
        <v>22</v>
      </c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2.75" customHeight="1" x14ac:dyDescent="0.35">
      <c r="A44" s="20">
        <v>37</v>
      </c>
      <c r="B44" s="13">
        <v>2203722538</v>
      </c>
      <c r="C44" s="24" t="s">
        <v>1467</v>
      </c>
      <c r="D44" s="22" t="s">
        <v>139</v>
      </c>
      <c r="E44" s="13" t="s">
        <v>1409</v>
      </c>
      <c r="F44" s="13">
        <v>9</v>
      </c>
      <c r="G44" s="13">
        <v>8.5</v>
      </c>
      <c r="H44" s="13"/>
      <c r="I44" s="16"/>
      <c r="J44" s="16">
        <v>10</v>
      </c>
      <c r="K44" s="16">
        <v>9</v>
      </c>
      <c r="L44" s="18">
        <f t="shared" si="0"/>
        <v>9.1999999999999993</v>
      </c>
      <c r="M44" s="16" t="s">
        <v>22</v>
      </c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2.75" customHeight="1" x14ac:dyDescent="0.35">
      <c r="A45" s="20">
        <v>38</v>
      </c>
      <c r="B45" s="13">
        <v>2203722540</v>
      </c>
      <c r="C45" s="24" t="s">
        <v>1468</v>
      </c>
      <c r="D45" s="22" t="s">
        <v>139</v>
      </c>
      <c r="E45" s="13" t="s">
        <v>1469</v>
      </c>
      <c r="F45" s="13">
        <v>10</v>
      </c>
      <c r="G45" s="13">
        <v>8.5</v>
      </c>
      <c r="H45" s="13"/>
      <c r="I45" s="16"/>
      <c r="J45" s="16">
        <v>9.5</v>
      </c>
      <c r="K45" s="16">
        <v>10</v>
      </c>
      <c r="L45" s="18">
        <f t="shared" si="0"/>
        <v>9.6</v>
      </c>
      <c r="M45" s="16" t="s">
        <v>22</v>
      </c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2.75" customHeight="1" x14ac:dyDescent="0.35">
      <c r="A46" s="20">
        <v>39</v>
      </c>
      <c r="B46" s="13">
        <v>2203722541</v>
      </c>
      <c r="C46" s="24" t="s">
        <v>1470</v>
      </c>
      <c r="D46" s="22" t="s">
        <v>139</v>
      </c>
      <c r="E46" s="13" t="s">
        <v>1378</v>
      </c>
      <c r="F46" s="13">
        <v>9</v>
      </c>
      <c r="G46" s="13">
        <v>10</v>
      </c>
      <c r="H46" s="13"/>
      <c r="I46" s="16"/>
      <c r="J46" s="16">
        <v>9.5</v>
      </c>
      <c r="K46" s="16">
        <v>10</v>
      </c>
      <c r="L46" s="18">
        <f t="shared" si="0"/>
        <v>9.6999999999999993</v>
      </c>
      <c r="M46" s="16" t="s">
        <v>22</v>
      </c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2.75" customHeight="1" x14ac:dyDescent="0.35">
      <c r="A47" s="21">
        <v>40</v>
      </c>
      <c r="B47" s="15">
        <v>2203722542</v>
      </c>
      <c r="C47" s="25" t="s">
        <v>1471</v>
      </c>
      <c r="D47" s="23" t="s">
        <v>1415</v>
      </c>
      <c r="E47" s="15" t="s">
        <v>1472</v>
      </c>
      <c r="F47" s="15">
        <v>10</v>
      </c>
      <c r="G47" s="15">
        <v>9.5</v>
      </c>
      <c r="H47" s="15"/>
      <c r="I47" s="17"/>
      <c r="J47" s="17">
        <v>10</v>
      </c>
      <c r="K47" s="17">
        <v>10</v>
      </c>
      <c r="L47" s="19">
        <f t="shared" si="0"/>
        <v>9.9</v>
      </c>
      <c r="M47" s="17" t="s">
        <v>22</v>
      </c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2.75" customHeight="1" x14ac:dyDescent="0.35">
      <c r="A48" s="20">
        <v>41</v>
      </c>
      <c r="B48" s="13">
        <v>2203722544</v>
      </c>
      <c r="C48" s="24" t="s">
        <v>1128</v>
      </c>
      <c r="D48" s="22" t="s">
        <v>612</v>
      </c>
      <c r="E48" s="13" t="s">
        <v>1473</v>
      </c>
      <c r="F48" s="13">
        <v>10</v>
      </c>
      <c r="G48" s="13">
        <v>8.5</v>
      </c>
      <c r="H48" s="13"/>
      <c r="I48" s="16"/>
      <c r="J48" s="16">
        <v>8.5</v>
      </c>
      <c r="K48" s="16">
        <v>9</v>
      </c>
      <c r="L48" s="18">
        <f t="shared" si="0"/>
        <v>8.9</v>
      </c>
      <c r="M48" s="16" t="s">
        <v>22</v>
      </c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2.75" customHeight="1" x14ac:dyDescent="0.35">
      <c r="A49" s="21">
        <v>42</v>
      </c>
      <c r="B49" s="15">
        <v>2203722543</v>
      </c>
      <c r="C49" s="25" t="s">
        <v>1474</v>
      </c>
      <c r="D49" s="23" t="s">
        <v>612</v>
      </c>
      <c r="E49" s="15" t="s">
        <v>1475</v>
      </c>
      <c r="F49" s="15">
        <v>9</v>
      </c>
      <c r="G49" s="15">
        <v>8</v>
      </c>
      <c r="H49" s="15"/>
      <c r="I49" s="17"/>
      <c r="J49" s="17">
        <v>10</v>
      </c>
      <c r="K49" s="17">
        <v>9.5</v>
      </c>
      <c r="L49" s="19">
        <f t="shared" si="0"/>
        <v>9.4</v>
      </c>
      <c r="M49" s="17" t="s">
        <v>22</v>
      </c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2.75" customHeight="1" x14ac:dyDescent="0.35">
      <c r="A50" s="39" t="s">
        <v>141</v>
      </c>
      <c r="B50" s="40"/>
      <c r="C50" s="41"/>
      <c r="D50" s="41"/>
      <c r="E50" s="41"/>
      <c r="F50" s="40"/>
      <c r="G50" s="40"/>
      <c r="H50" s="40"/>
      <c r="I50" s="40"/>
      <c r="J50" s="42"/>
      <c r="K50" s="8"/>
      <c r="L50" s="9"/>
      <c r="M50" s="10"/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2.75" customHeight="1" x14ac:dyDescent="0.35">
      <c r="A51" s="43"/>
      <c r="B51" s="33"/>
      <c r="C51" s="44"/>
      <c r="D51" s="45"/>
      <c r="E51" s="45"/>
      <c r="F51" s="46"/>
      <c r="G51" s="46"/>
      <c r="H51" s="46"/>
      <c r="I51" s="46"/>
      <c r="J51" s="47"/>
    </row>
    <row r="52" spans="1:37" ht="12.75" customHeight="1" x14ac:dyDescent="0.35">
      <c r="A52" s="48" t="s">
        <v>142</v>
      </c>
      <c r="B52" s="33"/>
      <c r="C52" s="44"/>
      <c r="D52" s="45" t="s">
        <v>143</v>
      </c>
      <c r="E52" s="45"/>
      <c r="F52" s="46" t="str">
        <f>TEXT(COUNTIF(L8:L49,"&gt;="&amp;Q52),"#0")</f>
        <v>35</v>
      </c>
      <c r="G52" s="46"/>
      <c r="H52" s="31" t="s">
        <v>144</v>
      </c>
      <c r="I52" s="46" t="str">
        <f>ROUND(F52/IF(COUNTIF(L8:L49,"&gt;=0")=0,1,COUNTIF(L8:L49,"&gt;=0")),4)*100&amp;"%"</f>
        <v>83.33%</v>
      </c>
      <c r="J52" s="47"/>
      <c r="Q52" s="26">
        <v>7.95</v>
      </c>
    </row>
    <row r="53" spans="1:37" ht="12.75" customHeight="1" x14ac:dyDescent="0.35">
      <c r="A53" s="43" t="s">
        <v>145</v>
      </c>
      <c r="B53" s="33"/>
      <c r="C53" s="44"/>
      <c r="D53" s="45" t="s">
        <v>146</v>
      </c>
      <c r="E53" s="45"/>
      <c r="F53" s="46" t="str">
        <f>TEXT(COUNTIF(L8:L49,"&gt;="&amp;Q53)-F52,"#0")</f>
        <v>6</v>
      </c>
      <c r="G53" s="46"/>
      <c r="H53" s="31" t="s">
        <v>144</v>
      </c>
      <c r="I53" s="46" t="str">
        <f>ROUND(F53/IF(COUNTIF(L8:L49,"&gt;=0")=0,1,COUNTIF(L8:L49,"&gt;=0")),4)*100&amp;"%"</f>
        <v>14.29%</v>
      </c>
      <c r="J53" s="47"/>
      <c r="Q53" s="26">
        <v>6.45</v>
      </c>
    </row>
    <row r="54" spans="1:37" ht="12.75" customHeight="1" x14ac:dyDescent="0.35">
      <c r="A54" s="27"/>
      <c r="D54" s="45" t="s">
        <v>147</v>
      </c>
      <c r="E54" s="45"/>
      <c r="F54" s="46" t="str">
        <f>TEXT(COUNTIF(L8:L49,"&gt;="&amp;Q54)-F53-F52,"#0")</f>
        <v>1</v>
      </c>
      <c r="G54" s="46"/>
      <c r="H54" s="31" t="s">
        <v>144</v>
      </c>
      <c r="I54" s="46" t="str">
        <f>ROUND(F54/IF(COUNTIF(L8:L49,"&gt;=0")=0,1,COUNTIF(L8:L49,"&gt;=0")),4)*100&amp;"%"</f>
        <v>2.38%</v>
      </c>
      <c r="J54" s="47"/>
      <c r="Q54" s="26">
        <v>4.95</v>
      </c>
    </row>
    <row r="55" spans="1:37" ht="12.75" customHeight="1" x14ac:dyDescent="0.35">
      <c r="A55" s="28"/>
      <c r="B55" s="29"/>
      <c r="C55" s="30"/>
      <c r="D55" s="49" t="s">
        <v>148</v>
      </c>
      <c r="E55" s="49"/>
      <c r="F55" s="50" t="str">
        <f>TEXT(COUNTIF(L8:L49,"&gt;=0")-F51-F52-F53-F54,"#0")</f>
        <v>0</v>
      </c>
      <c r="G55" s="50"/>
      <c r="H55" s="32" t="s">
        <v>144</v>
      </c>
      <c r="I55" s="50" t="str">
        <f>ROUND(F55/IF(COUNTIF(L8:L49,"&gt;=0")=0,1,COUNTIF(L8:L49,"&gt;=0")),4)*100&amp;"%"</f>
        <v>0%</v>
      </c>
      <c r="J55" s="51"/>
    </row>
    <row r="65536" ht="14.5" x14ac:dyDescent="0.35"/>
  </sheetData>
  <mergeCells count="32">
    <mergeCell ref="D54:E54"/>
    <mergeCell ref="F54:G54"/>
    <mergeCell ref="I54:J54"/>
    <mergeCell ref="D55:E55"/>
    <mergeCell ref="F55:G55"/>
    <mergeCell ref="I55:J55"/>
    <mergeCell ref="A50:J51"/>
    <mergeCell ref="A52:C52"/>
    <mergeCell ref="D52:E52"/>
    <mergeCell ref="F52:G52"/>
    <mergeCell ref="I52:J52"/>
    <mergeCell ref="A53:C53"/>
    <mergeCell ref="D53:E53"/>
    <mergeCell ref="F53:G53"/>
    <mergeCell ref="I53:J53"/>
    <mergeCell ref="F5:J5"/>
    <mergeCell ref="L6:L7"/>
    <mergeCell ref="A6:A7"/>
    <mergeCell ref="B6:B7"/>
    <mergeCell ref="C6:D7"/>
    <mergeCell ref="J6:J7"/>
    <mergeCell ref="E6:E7"/>
    <mergeCell ref="A1:L1"/>
    <mergeCell ref="N6:N7"/>
    <mergeCell ref="O6:O7"/>
    <mergeCell ref="P6:P7"/>
    <mergeCell ref="F6:I6"/>
    <mergeCell ref="A3:L3"/>
    <mergeCell ref="A2:L2"/>
    <mergeCell ref="A4:J4"/>
    <mergeCell ref="K6:K7"/>
    <mergeCell ref="M6:M7"/>
  </mergeCells>
  <dataValidations count="254">
    <dataValidation type="list" allowBlank="1" showInputMessage="1" showErrorMessage="1" errorTitle="Thông báo" error="Bạn phải nhập [Đạt] = d, Đ, đ, 1   [Chưa đạt] = c, CĐ, cđ, 2" sqref="C5" xr:uid="{6526F9C4-8AC7-4B78-8137-2827E49BB112}">
      <formula1>"Đ,d,đ,1,CĐ,C,cđ,2"</formula1>
    </dataValidation>
    <dataValidation type="decimal" allowBlank="1" showInputMessage="1" showErrorMessage="1" errorTitle="Thông báo" error="Giá trị con điểm phải là số &gt;=0 và &lt;=10 " sqref="A5" xr:uid="{3F41CB13-7C41-4715-81F7-3C70DF0230F7}">
      <formula1>0</formula1>
      <formula2>10</formula2>
    </dataValidation>
    <dataValidation type="decimal" allowBlank="1" showInputMessage="1" showErrorMessage="1" errorTitle="Thông báo" error="Giá trị con điểm phải là số &gt;=0 và &lt;=10 " sqref="F8" xr:uid="{0CEB9E55-9064-4128-863D-80E96FCE66D3}">
      <formula1>0</formula1>
      <formula2>10</formula2>
    </dataValidation>
    <dataValidation type="decimal" allowBlank="1" showInputMessage="1" showErrorMessage="1" errorTitle="Thông báo" error="Giá trị con điểm phải là số &gt;=0 và &lt;=10 " sqref="G8" xr:uid="{1DCE27A8-62B3-49C0-9D01-9E9CC273AF3C}">
      <formula1>0</formula1>
      <formula2>10</formula2>
    </dataValidation>
    <dataValidation type="decimal" allowBlank="1" showInputMessage="1" showErrorMessage="1" errorTitle="Thông báo" error="Giá trị con điểm phải là số &gt;=0 và &lt;=10 " sqref="H8" xr:uid="{00579C61-DE73-4AE8-B5EF-683BF1800685}">
      <formula1>0</formula1>
      <formula2>10</formula2>
    </dataValidation>
    <dataValidation type="decimal" allowBlank="1" showInputMessage="1" showErrorMessage="1" errorTitle="Thông báo" error="Giá trị con điểm phải là số &gt;=0 và &lt;=10 " sqref="I8" xr:uid="{9C6547C7-1713-4F8A-B7CE-60F7655DA08F}">
      <formula1>0</formula1>
      <formula2>10</formula2>
    </dataValidation>
    <dataValidation type="decimal" allowBlank="1" showInputMessage="1" showErrorMessage="1" errorTitle="Thông báo" error="Giá trị con điểm phải là số &gt;=0 và &lt;=10 " sqref="J8" xr:uid="{75F7943B-5EAC-4CE6-B085-BE11B072633B}">
      <formula1>0</formula1>
      <formula2>10</formula2>
    </dataValidation>
    <dataValidation type="decimal" allowBlank="1" showInputMessage="1" showErrorMessage="1" errorTitle="Thông báo" error="Giá trị con điểm phải là số &gt;=0 và &lt;=10 " sqref="K8" xr:uid="{C0E4E87A-4744-4ECB-956C-4BBE8C76D2F7}">
      <formula1>0</formula1>
      <formula2>10</formula2>
    </dataValidation>
    <dataValidation type="decimal" allowBlank="1" showInputMessage="1" showErrorMessage="1" errorTitle="Thông báo" error="Giá trị con điểm phải là số &gt;=0 và &lt;=10 " sqref="F9" xr:uid="{E2717917-387C-4AD3-8056-FF00CCD4D502}">
      <formula1>0</formula1>
      <formula2>10</formula2>
    </dataValidation>
    <dataValidation type="decimal" allowBlank="1" showInputMessage="1" showErrorMessage="1" errorTitle="Thông báo" error="Giá trị con điểm phải là số &gt;=0 và &lt;=10 " sqref="G9" xr:uid="{8635A576-0E16-422D-B442-E8FDD3374DAD}">
      <formula1>0</formula1>
      <formula2>10</formula2>
    </dataValidation>
    <dataValidation type="decimal" allowBlank="1" showInputMessage="1" showErrorMessage="1" errorTitle="Thông báo" error="Giá trị con điểm phải là số &gt;=0 và &lt;=10 " sqref="H9" xr:uid="{878311F0-AB13-4B31-9001-9EC33278EFBB}">
      <formula1>0</formula1>
      <formula2>10</formula2>
    </dataValidation>
    <dataValidation type="decimal" allowBlank="1" showInputMessage="1" showErrorMessage="1" errorTitle="Thông báo" error="Giá trị con điểm phải là số &gt;=0 và &lt;=10 " sqref="I9" xr:uid="{71654FCA-B0AE-4147-9B36-F8BF5AE8B774}">
      <formula1>0</formula1>
      <formula2>10</formula2>
    </dataValidation>
    <dataValidation type="decimal" allowBlank="1" showInputMessage="1" showErrorMessage="1" errorTitle="Thông báo" error="Giá trị con điểm phải là số &gt;=0 và &lt;=10 " sqref="J9" xr:uid="{D6F91EB3-17DD-4B94-9377-0794517D7E89}">
      <formula1>0</formula1>
      <formula2>10</formula2>
    </dataValidation>
    <dataValidation type="decimal" allowBlank="1" showInputMessage="1" showErrorMessage="1" errorTitle="Thông báo" error="Giá trị con điểm phải là số &gt;=0 và &lt;=10 " sqref="K9" xr:uid="{DCF6A957-9340-4182-B6E4-938E3FFFDD5B}">
      <formula1>0</formula1>
      <formula2>10</formula2>
    </dataValidation>
    <dataValidation type="decimal" allowBlank="1" showInputMessage="1" showErrorMessage="1" errorTitle="Thông báo" error="Giá trị con điểm phải là số &gt;=0 và &lt;=10 " sqref="F10" xr:uid="{962EA1AF-4445-401D-B889-8234C2EBBAD4}">
      <formula1>0</formula1>
      <formula2>10</formula2>
    </dataValidation>
    <dataValidation type="decimal" allowBlank="1" showInputMessage="1" showErrorMessage="1" errorTitle="Thông báo" error="Giá trị con điểm phải là số &gt;=0 và &lt;=10 " sqref="G10" xr:uid="{DCC6B832-DE65-462E-AC6E-5C8743D323F8}">
      <formula1>0</formula1>
      <formula2>10</formula2>
    </dataValidation>
    <dataValidation type="decimal" allowBlank="1" showInputMessage="1" showErrorMessage="1" errorTitle="Thông báo" error="Giá trị con điểm phải là số &gt;=0 và &lt;=10 " sqref="H10" xr:uid="{99065500-C659-49DA-8E30-F5E7BFFD9799}">
      <formula1>0</formula1>
      <formula2>10</formula2>
    </dataValidation>
    <dataValidation type="decimal" allowBlank="1" showInputMessage="1" showErrorMessage="1" errorTitle="Thông báo" error="Giá trị con điểm phải là số &gt;=0 và &lt;=10 " sqref="I10" xr:uid="{9ECFE1EA-6576-481F-B6C0-00B06CCAF467}">
      <formula1>0</formula1>
      <formula2>10</formula2>
    </dataValidation>
    <dataValidation type="decimal" allowBlank="1" showInputMessage="1" showErrorMessage="1" errorTitle="Thông báo" error="Giá trị con điểm phải là số &gt;=0 và &lt;=10 " sqref="J10" xr:uid="{E263826E-F482-416D-A7CE-46E625D85AD7}">
      <formula1>0</formula1>
      <formula2>10</formula2>
    </dataValidation>
    <dataValidation type="decimal" allowBlank="1" showInputMessage="1" showErrorMessage="1" errorTitle="Thông báo" error="Giá trị con điểm phải là số &gt;=0 và &lt;=10 " sqref="K10" xr:uid="{32B9682F-3710-4884-B05A-C09DF0CFE333}">
      <formula1>0</formula1>
      <formula2>10</formula2>
    </dataValidation>
    <dataValidation type="decimal" allowBlank="1" showInputMessage="1" showErrorMessage="1" errorTitle="Thông báo" error="Giá trị con điểm phải là số &gt;=0 và &lt;=10 " sqref="F11" xr:uid="{0656515E-4976-4054-B9B7-7645FBAE59AF}">
      <formula1>0</formula1>
      <formula2>10</formula2>
    </dataValidation>
    <dataValidation type="decimal" allowBlank="1" showInputMessage="1" showErrorMessage="1" errorTitle="Thông báo" error="Giá trị con điểm phải là số &gt;=0 và &lt;=10 " sqref="G11" xr:uid="{334E9FC5-4DA6-498D-925C-65C6E48E61E0}">
      <formula1>0</formula1>
      <formula2>10</formula2>
    </dataValidation>
    <dataValidation type="decimal" allowBlank="1" showInputMessage="1" showErrorMessage="1" errorTitle="Thông báo" error="Giá trị con điểm phải là số &gt;=0 và &lt;=10 " sqref="H11" xr:uid="{4CD07106-80D0-46A2-97AB-80BA850A6B7E}">
      <formula1>0</formula1>
      <formula2>10</formula2>
    </dataValidation>
    <dataValidation type="decimal" allowBlank="1" showInputMessage="1" showErrorMessage="1" errorTitle="Thông báo" error="Giá trị con điểm phải là số &gt;=0 và &lt;=10 " sqref="I11" xr:uid="{1EAB2906-FF4D-4A55-9873-741F62A7B808}">
      <formula1>0</formula1>
      <formula2>10</formula2>
    </dataValidation>
    <dataValidation type="decimal" allowBlank="1" showInputMessage="1" showErrorMessage="1" errorTitle="Thông báo" error="Giá trị con điểm phải là số &gt;=0 và &lt;=10 " sqref="J11" xr:uid="{778065E6-CAD7-49F1-B339-99FA63653740}">
      <formula1>0</formula1>
      <formula2>10</formula2>
    </dataValidation>
    <dataValidation type="decimal" allowBlank="1" showInputMessage="1" showErrorMessage="1" errorTitle="Thông báo" error="Giá trị con điểm phải là số &gt;=0 và &lt;=10 " sqref="K11" xr:uid="{04E73D4B-051B-4BE7-88C2-BCDB1F6533B1}">
      <formula1>0</formula1>
      <formula2>10</formula2>
    </dataValidation>
    <dataValidation type="decimal" allowBlank="1" showInputMessage="1" showErrorMessage="1" errorTitle="Thông báo" error="Giá trị con điểm phải là số &gt;=0 và &lt;=10 " sqref="F12" xr:uid="{469A5145-06B3-4103-87E4-4DDE14159132}">
      <formula1>0</formula1>
      <formula2>10</formula2>
    </dataValidation>
    <dataValidation type="decimal" allowBlank="1" showInputMessage="1" showErrorMessage="1" errorTitle="Thông báo" error="Giá trị con điểm phải là số &gt;=0 và &lt;=10 " sqref="G12" xr:uid="{CA1566A9-B460-4EDC-A9B9-AB1397C4EE22}">
      <formula1>0</formula1>
      <formula2>10</formula2>
    </dataValidation>
    <dataValidation type="decimal" allowBlank="1" showInputMessage="1" showErrorMessage="1" errorTitle="Thông báo" error="Giá trị con điểm phải là số &gt;=0 và &lt;=10 " sqref="H12" xr:uid="{222F06BB-825A-4517-9FFD-FD9BD03B11A3}">
      <formula1>0</formula1>
      <formula2>10</formula2>
    </dataValidation>
    <dataValidation type="decimal" allowBlank="1" showInputMessage="1" showErrorMessage="1" errorTitle="Thông báo" error="Giá trị con điểm phải là số &gt;=0 và &lt;=10 " sqref="I12" xr:uid="{42D89F93-A2D1-4234-A4A9-561BC2BC65D3}">
      <formula1>0</formula1>
      <formula2>10</formula2>
    </dataValidation>
    <dataValidation type="decimal" allowBlank="1" showInputMessage="1" showErrorMessage="1" errorTitle="Thông báo" error="Giá trị con điểm phải là số &gt;=0 và &lt;=10 " sqref="J12" xr:uid="{32B5BC13-1405-4DFF-A50C-C6F2AE822CCA}">
      <formula1>0</formula1>
      <formula2>10</formula2>
    </dataValidation>
    <dataValidation type="decimal" allowBlank="1" showInputMessage="1" showErrorMessage="1" errorTitle="Thông báo" error="Giá trị con điểm phải là số &gt;=0 và &lt;=10 " sqref="K12" xr:uid="{FFD06555-71A4-4A76-AA4B-37D65CB52D81}">
      <formula1>0</formula1>
      <formula2>10</formula2>
    </dataValidation>
    <dataValidation type="decimal" allowBlank="1" showInputMessage="1" showErrorMessage="1" errorTitle="Thông báo" error="Giá trị con điểm phải là số &gt;=0 và &lt;=10 " sqref="F13" xr:uid="{7A96130C-C9BD-4766-A616-73B6EDCC4D5D}">
      <formula1>0</formula1>
      <formula2>10</formula2>
    </dataValidation>
    <dataValidation type="decimal" allowBlank="1" showInputMessage="1" showErrorMessage="1" errorTitle="Thông báo" error="Giá trị con điểm phải là số &gt;=0 và &lt;=10 " sqref="G13" xr:uid="{912F3D9A-EEEF-4EC3-BC17-3924E427760A}">
      <formula1>0</formula1>
      <formula2>10</formula2>
    </dataValidation>
    <dataValidation type="decimal" allowBlank="1" showInputMessage="1" showErrorMessage="1" errorTitle="Thông báo" error="Giá trị con điểm phải là số &gt;=0 và &lt;=10 " sqref="H13" xr:uid="{7ACF0DAB-15D9-4F10-B6D6-14DA384076CA}">
      <formula1>0</formula1>
      <formula2>10</formula2>
    </dataValidation>
    <dataValidation type="decimal" allowBlank="1" showInputMessage="1" showErrorMessage="1" errorTitle="Thông báo" error="Giá trị con điểm phải là số &gt;=0 và &lt;=10 " sqref="I13" xr:uid="{B838A03C-4CD1-4E16-BBAA-765823D44D8A}">
      <formula1>0</formula1>
      <formula2>10</formula2>
    </dataValidation>
    <dataValidation type="decimal" allowBlank="1" showInputMessage="1" showErrorMessage="1" errorTitle="Thông báo" error="Giá trị con điểm phải là số &gt;=0 và &lt;=10 " sqref="J13" xr:uid="{4B54CCB5-B547-4928-9ACB-78DA4DE5B1A9}">
      <formula1>0</formula1>
      <formula2>10</formula2>
    </dataValidation>
    <dataValidation type="decimal" allowBlank="1" showInputMessage="1" showErrorMessage="1" errorTitle="Thông báo" error="Giá trị con điểm phải là số &gt;=0 và &lt;=10 " sqref="K13" xr:uid="{36E3D204-73DB-40CC-9E74-D1BB5FE2FE72}">
      <formula1>0</formula1>
      <formula2>10</formula2>
    </dataValidation>
    <dataValidation type="decimal" allowBlank="1" showInputMessage="1" showErrorMessage="1" errorTitle="Thông báo" error="Giá trị con điểm phải là số &gt;=0 và &lt;=10 " sqref="F14" xr:uid="{64FA7A00-398D-4DA6-B972-4E27F8FA4AE5}">
      <formula1>0</formula1>
      <formula2>10</formula2>
    </dataValidation>
    <dataValidation type="decimal" allowBlank="1" showInputMessage="1" showErrorMessage="1" errorTitle="Thông báo" error="Giá trị con điểm phải là số &gt;=0 và &lt;=10 " sqref="G14" xr:uid="{3C8DC812-764D-4BF0-AFEB-125C410416D5}">
      <formula1>0</formula1>
      <formula2>10</formula2>
    </dataValidation>
    <dataValidation type="decimal" allowBlank="1" showInputMessage="1" showErrorMessage="1" errorTitle="Thông báo" error="Giá trị con điểm phải là số &gt;=0 và &lt;=10 " sqref="H14" xr:uid="{0C4E8B44-EC28-43C5-906D-B7059FB2AD2F}">
      <formula1>0</formula1>
      <formula2>10</formula2>
    </dataValidation>
    <dataValidation type="decimal" allowBlank="1" showInputMessage="1" showErrorMessage="1" errorTitle="Thông báo" error="Giá trị con điểm phải là số &gt;=0 và &lt;=10 " sqref="I14" xr:uid="{43A1EC97-21BC-4502-BB97-E5AD854252D3}">
      <formula1>0</formula1>
      <formula2>10</formula2>
    </dataValidation>
    <dataValidation type="decimal" allowBlank="1" showInputMessage="1" showErrorMessage="1" errorTitle="Thông báo" error="Giá trị con điểm phải là số &gt;=0 và &lt;=10 " sqref="J14" xr:uid="{A2B19CAA-73C0-4402-A56D-49233D9C9D5E}">
      <formula1>0</formula1>
      <formula2>10</formula2>
    </dataValidation>
    <dataValidation type="decimal" allowBlank="1" showInputMessage="1" showErrorMessage="1" errorTitle="Thông báo" error="Giá trị con điểm phải là số &gt;=0 và &lt;=10 " sqref="K14" xr:uid="{008BC32F-03B1-48AC-8EA7-A2AEC4AB01A2}">
      <formula1>0</formula1>
      <formula2>10</formula2>
    </dataValidation>
    <dataValidation type="decimal" allowBlank="1" showInputMessage="1" showErrorMessage="1" errorTitle="Thông báo" error="Giá trị con điểm phải là số &gt;=0 và &lt;=10 " sqref="F15" xr:uid="{A2D2D364-B8D4-41AA-8604-B0CB42956FCA}">
      <formula1>0</formula1>
      <formula2>10</formula2>
    </dataValidation>
    <dataValidation type="decimal" allowBlank="1" showInputMessage="1" showErrorMessage="1" errorTitle="Thông báo" error="Giá trị con điểm phải là số &gt;=0 và &lt;=10 " sqref="G15" xr:uid="{433E71A2-0EFB-4628-B468-49FC371AF00F}">
      <formula1>0</formula1>
      <formula2>10</formula2>
    </dataValidation>
    <dataValidation type="decimal" allowBlank="1" showInputMessage="1" showErrorMessage="1" errorTitle="Thông báo" error="Giá trị con điểm phải là số &gt;=0 và &lt;=10 " sqref="H15" xr:uid="{86D38C5C-AE69-4C29-996C-45109540B6C9}">
      <formula1>0</formula1>
      <formula2>10</formula2>
    </dataValidation>
    <dataValidation type="decimal" allowBlank="1" showInputMessage="1" showErrorMessage="1" errorTitle="Thông báo" error="Giá trị con điểm phải là số &gt;=0 và &lt;=10 " sqref="I15" xr:uid="{EEACA10E-C707-4295-945C-9B7CE9D21636}">
      <formula1>0</formula1>
      <formula2>10</formula2>
    </dataValidation>
    <dataValidation type="decimal" allowBlank="1" showInputMessage="1" showErrorMessage="1" errorTitle="Thông báo" error="Giá trị con điểm phải là số &gt;=0 và &lt;=10 " sqref="J15" xr:uid="{2C36B3B1-2E7D-4C03-A259-7C8E6620EF23}">
      <formula1>0</formula1>
      <formula2>10</formula2>
    </dataValidation>
    <dataValidation type="decimal" allowBlank="1" showInputMessage="1" showErrorMessage="1" errorTitle="Thông báo" error="Giá trị con điểm phải là số &gt;=0 và &lt;=10 " sqref="K15" xr:uid="{C8C47006-6DB7-4E1C-A7C1-407EBB561A74}">
      <formula1>0</formula1>
      <formula2>10</formula2>
    </dataValidation>
    <dataValidation type="decimal" allowBlank="1" showInputMessage="1" showErrorMessage="1" errorTitle="Thông báo" error="Giá trị con điểm phải là số &gt;=0 và &lt;=10 " sqref="F16" xr:uid="{D40EF42F-E365-4B31-9DC0-0D510DA9BC8E}">
      <formula1>0</formula1>
      <formula2>10</formula2>
    </dataValidation>
    <dataValidation type="decimal" allowBlank="1" showInputMessage="1" showErrorMessage="1" errorTitle="Thông báo" error="Giá trị con điểm phải là số &gt;=0 và &lt;=10 " sqref="G16" xr:uid="{3F04DDFC-4A18-4E13-AA56-63A815393F5E}">
      <formula1>0</formula1>
      <formula2>10</formula2>
    </dataValidation>
    <dataValidation type="decimal" allowBlank="1" showInputMessage="1" showErrorMessage="1" errorTitle="Thông báo" error="Giá trị con điểm phải là số &gt;=0 và &lt;=10 " sqref="H16" xr:uid="{C797F23A-D880-4D81-B5B4-C03C33669792}">
      <formula1>0</formula1>
      <formula2>10</formula2>
    </dataValidation>
    <dataValidation type="decimal" allowBlank="1" showInputMessage="1" showErrorMessage="1" errorTitle="Thông báo" error="Giá trị con điểm phải là số &gt;=0 và &lt;=10 " sqref="I16" xr:uid="{39C08476-8BE5-485C-8F42-DA677BD99F27}">
      <formula1>0</formula1>
      <formula2>10</formula2>
    </dataValidation>
    <dataValidation type="decimal" allowBlank="1" showInputMessage="1" showErrorMessage="1" errorTitle="Thông báo" error="Giá trị con điểm phải là số &gt;=0 và &lt;=10 " sqref="J16" xr:uid="{A7A26AED-4F5B-4226-A87D-1E31FB93D6B6}">
      <formula1>0</formula1>
      <formula2>10</formula2>
    </dataValidation>
    <dataValidation type="decimal" allowBlank="1" showInputMessage="1" showErrorMessage="1" errorTitle="Thông báo" error="Giá trị con điểm phải là số &gt;=0 và &lt;=10 " sqref="K16" xr:uid="{8F3EEF12-3EAF-4FD0-B8CC-4B1685EF58C1}">
      <formula1>0</formula1>
      <formula2>10</formula2>
    </dataValidation>
    <dataValidation type="decimal" allowBlank="1" showInputMessage="1" showErrorMessage="1" errorTitle="Thông báo" error="Giá trị con điểm phải là số &gt;=0 và &lt;=10 " sqref="F17" xr:uid="{72D19F47-4A97-4169-BE12-B446A950FF56}">
      <formula1>0</formula1>
      <formula2>10</formula2>
    </dataValidation>
    <dataValidation type="decimal" allowBlank="1" showInputMessage="1" showErrorMessage="1" errorTitle="Thông báo" error="Giá trị con điểm phải là số &gt;=0 và &lt;=10 " sqref="G17" xr:uid="{01C5FA19-0EE5-43BD-BA8C-FFEC7BF5DEE7}">
      <formula1>0</formula1>
      <formula2>10</formula2>
    </dataValidation>
    <dataValidation type="decimal" allowBlank="1" showInputMessage="1" showErrorMessage="1" errorTitle="Thông báo" error="Giá trị con điểm phải là số &gt;=0 và &lt;=10 " sqref="H17" xr:uid="{622523A6-912F-461D-B768-CF58175BB29A}">
      <formula1>0</formula1>
      <formula2>10</formula2>
    </dataValidation>
    <dataValidation type="decimal" allowBlank="1" showInputMessage="1" showErrorMessage="1" errorTitle="Thông báo" error="Giá trị con điểm phải là số &gt;=0 và &lt;=10 " sqref="I17" xr:uid="{42B4B841-AD01-4CF3-BECF-AA3B5D25A729}">
      <formula1>0</formula1>
      <formula2>10</formula2>
    </dataValidation>
    <dataValidation type="decimal" allowBlank="1" showInputMessage="1" showErrorMessage="1" errorTitle="Thông báo" error="Giá trị con điểm phải là số &gt;=0 và &lt;=10 " sqref="J17" xr:uid="{92E8F213-B7B4-4AAB-97B4-B15B2CBB84B0}">
      <formula1>0</formula1>
      <formula2>10</formula2>
    </dataValidation>
    <dataValidation type="decimal" allowBlank="1" showInputMessage="1" showErrorMessage="1" errorTitle="Thông báo" error="Giá trị con điểm phải là số &gt;=0 và &lt;=10 " sqref="K17" xr:uid="{373CB715-9FC3-4C55-A3E1-354D1DCD3B22}">
      <formula1>0</formula1>
      <formula2>10</formula2>
    </dataValidation>
    <dataValidation type="decimal" allowBlank="1" showInputMessage="1" showErrorMessage="1" errorTitle="Thông báo" error="Giá trị con điểm phải là số &gt;=0 và &lt;=10 " sqref="F18" xr:uid="{DD8174D5-6D3C-4AF9-8C03-7DC83D91B9A8}">
      <formula1>0</formula1>
      <formula2>10</formula2>
    </dataValidation>
    <dataValidation type="decimal" allowBlank="1" showInputMessage="1" showErrorMessage="1" errorTitle="Thông báo" error="Giá trị con điểm phải là số &gt;=0 và &lt;=10 " sqref="G18" xr:uid="{115B7A37-EBB9-4010-A973-EF36A09BCFE0}">
      <formula1>0</formula1>
      <formula2>10</formula2>
    </dataValidation>
    <dataValidation type="decimal" allowBlank="1" showInputMessage="1" showErrorMessage="1" errorTitle="Thông báo" error="Giá trị con điểm phải là số &gt;=0 và &lt;=10 " sqref="H18" xr:uid="{683CC240-AADB-4989-8015-C1FC6C8AF1B7}">
      <formula1>0</formula1>
      <formula2>10</formula2>
    </dataValidation>
    <dataValidation type="decimal" allowBlank="1" showInputMessage="1" showErrorMessage="1" errorTitle="Thông báo" error="Giá trị con điểm phải là số &gt;=0 và &lt;=10 " sqref="I18" xr:uid="{D14BA872-4253-40FB-A8A8-AC9E0E82F689}">
      <formula1>0</formula1>
      <formula2>10</formula2>
    </dataValidation>
    <dataValidation type="decimal" allowBlank="1" showInputMessage="1" showErrorMessage="1" errorTitle="Thông báo" error="Giá trị con điểm phải là số &gt;=0 và &lt;=10 " sqref="J18" xr:uid="{30711904-2EB7-4F39-9193-EE1AF75EB288}">
      <formula1>0</formula1>
      <formula2>10</formula2>
    </dataValidation>
    <dataValidation type="decimal" allowBlank="1" showInputMessage="1" showErrorMessage="1" errorTitle="Thông báo" error="Giá trị con điểm phải là số &gt;=0 và &lt;=10 " sqref="K18" xr:uid="{54A552D4-5B13-4BD9-87B3-B07EB95868F6}">
      <formula1>0</formula1>
      <formula2>10</formula2>
    </dataValidation>
    <dataValidation type="decimal" allowBlank="1" showInputMessage="1" showErrorMessage="1" errorTitle="Thông báo" error="Giá trị con điểm phải là số &gt;=0 và &lt;=10 " sqref="F19" xr:uid="{9FAB5CAD-89EE-4A02-B5A6-9DD79A1CB1B0}">
      <formula1>0</formula1>
      <formula2>10</formula2>
    </dataValidation>
    <dataValidation type="decimal" allowBlank="1" showInputMessage="1" showErrorMessage="1" errorTitle="Thông báo" error="Giá trị con điểm phải là số &gt;=0 và &lt;=10 " sqref="G19" xr:uid="{57041CE0-9823-4210-8891-80ED4041E115}">
      <formula1>0</formula1>
      <formula2>10</formula2>
    </dataValidation>
    <dataValidation type="decimal" allowBlank="1" showInputMessage="1" showErrorMessage="1" errorTitle="Thông báo" error="Giá trị con điểm phải là số &gt;=0 và &lt;=10 " sqref="H19" xr:uid="{738205A6-2CCB-41C1-818D-9A31CED92D08}">
      <formula1>0</formula1>
      <formula2>10</formula2>
    </dataValidation>
    <dataValidation type="decimal" allowBlank="1" showInputMessage="1" showErrorMessage="1" errorTitle="Thông báo" error="Giá trị con điểm phải là số &gt;=0 và &lt;=10 " sqref="I19" xr:uid="{C9EDB762-AFF9-4A4F-9498-7BB9EE009A6B}">
      <formula1>0</formula1>
      <formula2>10</formula2>
    </dataValidation>
    <dataValidation type="decimal" allowBlank="1" showInputMessage="1" showErrorMessage="1" errorTitle="Thông báo" error="Giá trị con điểm phải là số &gt;=0 và &lt;=10 " sqref="J19" xr:uid="{1A5AE0F1-C658-42D4-B85A-DE211A301866}">
      <formula1>0</formula1>
      <formula2>10</formula2>
    </dataValidation>
    <dataValidation type="decimal" allowBlank="1" showInputMessage="1" showErrorMessage="1" errorTitle="Thông báo" error="Giá trị con điểm phải là số &gt;=0 và &lt;=10 " sqref="K19" xr:uid="{E6588C14-E2C1-402D-85A5-A9FA4AB12749}">
      <formula1>0</formula1>
      <formula2>10</formula2>
    </dataValidation>
    <dataValidation type="decimal" allowBlank="1" showInputMessage="1" showErrorMessage="1" errorTitle="Thông báo" error="Giá trị con điểm phải là số &gt;=0 và &lt;=10 " sqref="F20" xr:uid="{9ACAE4A7-8E57-4E2B-A852-114BA8937D1D}">
      <formula1>0</formula1>
      <formula2>10</formula2>
    </dataValidation>
    <dataValidation type="decimal" allowBlank="1" showInputMessage="1" showErrorMessage="1" errorTitle="Thông báo" error="Giá trị con điểm phải là số &gt;=0 và &lt;=10 " sqref="G20" xr:uid="{D1111D00-EB7E-4BC4-918C-FBA6038312FB}">
      <formula1>0</formula1>
      <formula2>10</formula2>
    </dataValidation>
    <dataValidation type="decimal" allowBlank="1" showInputMessage="1" showErrorMessage="1" errorTitle="Thông báo" error="Giá trị con điểm phải là số &gt;=0 và &lt;=10 " sqref="H20" xr:uid="{23C9A909-3271-4649-932E-400A1EF4B1CB}">
      <formula1>0</formula1>
      <formula2>10</formula2>
    </dataValidation>
    <dataValidation type="decimal" allowBlank="1" showInputMessage="1" showErrorMessage="1" errorTitle="Thông báo" error="Giá trị con điểm phải là số &gt;=0 và &lt;=10 " sqref="I20" xr:uid="{F8638DC9-FF8B-4A09-8C5E-F24D43A9C95F}">
      <formula1>0</formula1>
      <formula2>10</formula2>
    </dataValidation>
    <dataValidation type="decimal" allowBlank="1" showInputMessage="1" showErrorMessage="1" errorTitle="Thông báo" error="Giá trị con điểm phải là số &gt;=0 và &lt;=10 " sqref="J20" xr:uid="{F8BB6F3E-B951-4882-983F-00CF019014E0}">
      <formula1>0</formula1>
      <formula2>10</formula2>
    </dataValidation>
    <dataValidation type="decimal" allowBlank="1" showInputMessage="1" showErrorMessage="1" errorTitle="Thông báo" error="Giá trị con điểm phải là số &gt;=0 và &lt;=10 " sqref="K20" xr:uid="{06BBB6CD-1D42-4785-8C55-2E0913B5A095}">
      <formula1>0</formula1>
      <formula2>10</formula2>
    </dataValidation>
    <dataValidation type="decimal" allowBlank="1" showInputMessage="1" showErrorMessage="1" errorTitle="Thông báo" error="Giá trị con điểm phải là số &gt;=0 và &lt;=10 " sqref="F21" xr:uid="{F2D74C05-4FB3-40F1-91A8-90E1DEBF1FD3}">
      <formula1>0</formula1>
      <formula2>10</formula2>
    </dataValidation>
    <dataValidation type="decimal" allowBlank="1" showInputMessage="1" showErrorMessage="1" errorTitle="Thông báo" error="Giá trị con điểm phải là số &gt;=0 và &lt;=10 " sqref="G21" xr:uid="{2C794984-8118-4D5E-8FAA-35069B3B2C67}">
      <formula1>0</formula1>
      <formula2>10</formula2>
    </dataValidation>
    <dataValidation type="decimal" allowBlank="1" showInputMessage="1" showErrorMessage="1" errorTitle="Thông báo" error="Giá trị con điểm phải là số &gt;=0 và &lt;=10 " sqref="H21" xr:uid="{C07357F9-7A88-4B75-B68E-AA41DCA3CA2E}">
      <formula1>0</formula1>
      <formula2>10</formula2>
    </dataValidation>
    <dataValidation type="decimal" allowBlank="1" showInputMessage="1" showErrorMessage="1" errorTitle="Thông báo" error="Giá trị con điểm phải là số &gt;=0 và &lt;=10 " sqref="I21" xr:uid="{DFD2EE9E-AE5C-4514-8DD7-C4B14B60F221}">
      <formula1>0</formula1>
      <formula2>10</formula2>
    </dataValidation>
    <dataValidation type="decimal" allowBlank="1" showInputMessage="1" showErrorMessage="1" errorTitle="Thông báo" error="Giá trị con điểm phải là số &gt;=0 và &lt;=10 " sqref="J21" xr:uid="{0CDEE377-8D5A-4E6E-8334-F754A5936F0B}">
      <formula1>0</formula1>
      <formula2>10</formula2>
    </dataValidation>
    <dataValidation type="decimal" allowBlank="1" showInputMessage="1" showErrorMessage="1" errorTitle="Thông báo" error="Giá trị con điểm phải là số &gt;=0 và &lt;=10 " sqref="K21" xr:uid="{9E00512B-1908-4D01-93E1-AF1AC8374AF2}">
      <formula1>0</formula1>
      <formula2>10</formula2>
    </dataValidation>
    <dataValidation type="decimal" allowBlank="1" showInputMessage="1" showErrorMessage="1" errorTitle="Thông báo" error="Giá trị con điểm phải là số &gt;=0 và &lt;=10 " sqref="F22" xr:uid="{75EE4EAD-2103-41E0-9E75-C719AAE810C5}">
      <formula1>0</formula1>
      <formula2>10</formula2>
    </dataValidation>
    <dataValidation type="decimal" allowBlank="1" showInputMessage="1" showErrorMessage="1" errorTitle="Thông báo" error="Giá trị con điểm phải là số &gt;=0 và &lt;=10 " sqref="G22" xr:uid="{BC207D35-BD7B-4434-AD20-BCA26F6A388F}">
      <formula1>0</formula1>
      <formula2>10</formula2>
    </dataValidation>
    <dataValidation type="decimal" allowBlank="1" showInputMessage="1" showErrorMessage="1" errorTitle="Thông báo" error="Giá trị con điểm phải là số &gt;=0 và &lt;=10 " sqref="H22" xr:uid="{6B16FF18-9DF4-4664-82D0-6580BB20C1AA}">
      <formula1>0</formula1>
      <formula2>10</formula2>
    </dataValidation>
    <dataValidation type="decimal" allowBlank="1" showInputMessage="1" showErrorMessage="1" errorTitle="Thông báo" error="Giá trị con điểm phải là số &gt;=0 và &lt;=10 " sqref="I22" xr:uid="{CD498B6A-82F2-455B-B469-ABBCD001D1FE}">
      <formula1>0</formula1>
      <formula2>10</formula2>
    </dataValidation>
    <dataValidation type="decimal" allowBlank="1" showInputMessage="1" showErrorMessage="1" errorTitle="Thông báo" error="Giá trị con điểm phải là số &gt;=0 và &lt;=10 " sqref="J22" xr:uid="{7533654C-4CE2-439C-959F-EE2008067EDA}">
      <formula1>0</formula1>
      <formula2>10</formula2>
    </dataValidation>
    <dataValidation type="decimal" allowBlank="1" showInputMessage="1" showErrorMessage="1" errorTitle="Thông báo" error="Giá trị con điểm phải là số &gt;=0 và &lt;=10 " sqref="K22" xr:uid="{9095524C-BE6E-4249-9F09-F53FABA42EB5}">
      <formula1>0</formula1>
      <formula2>10</formula2>
    </dataValidation>
    <dataValidation type="decimal" allowBlank="1" showInputMessage="1" showErrorMessage="1" errorTitle="Thông báo" error="Giá trị con điểm phải là số &gt;=0 và &lt;=10 " sqref="F23" xr:uid="{2E2343C0-7799-47B9-9F9C-FFB8779CEBC2}">
      <formula1>0</formula1>
      <formula2>10</formula2>
    </dataValidation>
    <dataValidation type="decimal" allowBlank="1" showInputMessage="1" showErrorMessage="1" errorTitle="Thông báo" error="Giá trị con điểm phải là số &gt;=0 và &lt;=10 " sqref="G23" xr:uid="{22CBD68D-EBBA-40E9-8887-5571B352E7DD}">
      <formula1>0</formula1>
      <formula2>10</formula2>
    </dataValidation>
    <dataValidation type="decimal" allowBlank="1" showInputMessage="1" showErrorMessage="1" errorTitle="Thông báo" error="Giá trị con điểm phải là số &gt;=0 và &lt;=10 " sqref="H23" xr:uid="{D9B91544-2FB5-45E4-AB4D-CA2DB8FF7747}">
      <formula1>0</formula1>
      <formula2>10</formula2>
    </dataValidation>
    <dataValidation type="decimal" allowBlank="1" showInputMessage="1" showErrorMessage="1" errorTitle="Thông báo" error="Giá trị con điểm phải là số &gt;=0 và &lt;=10 " sqref="I23" xr:uid="{23BFB16E-C7A5-4376-BAEF-DD4BA30CF302}">
      <formula1>0</formula1>
      <formula2>10</formula2>
    </dataValidation>
    <dataValidation type="decimal" allowBlank="1" showInputMessage="1" showErrorMessage="1" errorTitle="Thông báo" error="Giá trị con điểm phải là số &gt;=0 và &lt;=10 " sqref="J23" xr:uid="{39042735-8FBD-4020-931A-D7EA754BD54A}">
      <formula1>0</formula1>
      <formula2>10</formula2>
    </dataValidation>
    <dataValidation type="decimal" allowBlank="1" showInputMessage="1" showErrorMessage="1" errorTitle="Thông báo" error="Giá trị con điểm phải là số &gt;=0 và &lt;=10 " sqref="K23" xr:uid="{01116D7A-CCE7-41C6-85D4-EC4B1C5B6810}">
      <formula1>0</formula1>
      <formula2>10</formula2>
    </dataValidation>
    <dataValidation type="decimal" allowBlank="1" showInputMessage="1" showErrorMessage="1" errorTitle="Thông báo" error="Giá trị con điểm phải là số &gt;=0 và &lt;=10 " sqref="F24" xr:uid="{CE80BB64-95D0-45B1-8B6A-7F3A1C0DED89}">
      <formula1>0</formula1>
      <formula2>10</formula2>
    </dataValidation>
    <dataValidation type="decimal" allowBlank="1" showInputMessage="1" showErrorMessage="1" errorTitle="Thông báo" error="Giá trị con điểm phải là số &gt;=0 và &lt;=10 " sqref="G24" xr:uid="{33B97DCD-E8DF-41A9-9ABC-4C4C26627435}">
      <formula1>0</formula1>
      <formula2>10</formula2>
    </dataValidation>
    <dataValidation type="decimal" allowBlank="1" showInputMessage="1" showErrorMessage="1" errorTitle="Thông báo" error="Giá trị con điểm phải là số &gt;=0 và &lt;=10 " sqref="H24" xr:uid="{5CF485AC-46D6-4DC0-B891-CDB231847F62}">
      <formula1>0</formula1>
      <formula2>10</formula2>
    </dataValidation>
    <dataValidation type="decimal" allowBlank="1" showInputMessage="1" showErrorMessage="1" errorTitle="Thông báo" error="Giá trị con điểm phải là số &gt;=0 và &lt;=10 " sqref="I24" xr:uid="{8197CBA4-6177-4670-94EC-0534B5738F8C}">
      <formula1>0</formula1>
      <formula2>10</formula2>
    </dataValidation>
    <dataValidation type="decimal" allowBlank="1" showInputMessage="1" showErrorMessage="1" errorTitle="Thông báo" error="Giá trị con điểm phải là số &gt;=0 và &lt;=10 " sqref="J24" xr:uid="{267EDA54-474F-4CF6-A658-468D66BFE7EA}">
      <formula1>0</formula1>
      <formula2>10</formula2>
    </dataValidation>
    <dataValidation type="decimal" allowBlank="1" showInputMessage="1" showErrorMessage="1" errorTitle="Thông báo" error="Giá trị con điểm phải là số &gt;=0 và &lt;=10 " sqref="K24" xr:uid="{46CD9346-F659-45A9-A8EF-5E9C33A95BF0}">
      <formula1>0</formula1>
      <formula2>10</formula2>
    </dataValidation>
    <dataValidation type="decimal" allowBlank="1" showInputMessage="1" showErrorMessage="1" errorTitle="Thông báo" error="Giá trị con điểm phải là số &gt;=0 và &lt;=10 " sqref="F25" xr:uid="{3AB25874-2978-4907-8044-414A5F177456}">
      <formula1>0</formula1>
      <formula2>10</formula2>
    </dataValidation>
    <dataValidation type="decimal" allowBlank="1" showInputMessage="1" showErrorMessage="1" errorTitle="Thông báo" error="Giá trị con điểm phải là số &gt;=0 và &lt;=10 " sqref="G25" xr:uid="{08AC22EA-314E-4874-A999-485DFE0DF0E7}">
      <formula1>0</formula1>
      <formula2>10</formula2>
    </dataValidation>
    <dataValidation type="decimal" allowBlank="1" showInputMessage="1" showErrorMessage="1" errorTitle="Thông báo" error="Giá trị con điểm phải là số &gt;=0 và &lt;=10 " sqref="H25" xr:uid="{12416C77-6B4F-4721-8C84-5310160F8756}">
      <formula1>0</formula1>
      <formula2>10</formula2>
    </dataValidation>
    <dataValidation type="decimal" allowBlank="1" showInputMessage="1" showErrorMessage="1" errorTitle="Thông báo" error="Giá trị con điểm phải là số &gt;=0 và &lt;=10 " sqref="I25" xr:uid="{851CA98E-8639-47A5-8F47-267DEE6B5865}">
      <formula1>0</formula1>
      <formula2>10</formula2>
    </dataValidation>
    <dataValidation type="decimal" allowBlank="1" showInputMessage="1" showErrorMessage="1" errorTitle="Thông báo" error="Giá trị con điểm phải là số &gt;=0 và &lt;=10 " sqref="J25" xr:uid="{B0C3BAF9-2862-4A1C-893B-79DB783E836D}">
      <formula1>0</formula1>
      <formula2>10</formula2>
    </dataValidation>
    <dataValidation type="decimal" allowBlank="1" showInputMessage="1" showErrorMessage="1" errorTitle="Thông báo" error="Giá trị con điểm phải là số &gt;=0 và &lt;=10 " sqref="K25" xr:uid="{390D9614-9073-439D-B011-50C37E60AEF4}">
      <formula1>0</formula1>
      <formula2>10</formula2>
    </dataValidation>
    <dataValidation type="decimal" allowBlank="1" showInputMessage="1" showErrorMessage="1" errorTitle="Thông báo" error="Giá trị con điểm phải là số &gt;=0 và &lt;=10 " sqref="F26" xr:uid="{FB8000AD-7F08-46E9-8D01-AC86F5BDA18B}">
      <formula1>0</formula1>
      <formula2>10</formula2>
    </dataValidation>
    <dataValidation type="decimal" allowBlank="1" showInputMessage="1" showErrorMessage="1" errorTitle="Thông báo" error="Giá trị con điểm phải là số &gt;=0 và &lt;=10 " sqref="G26" xr:uid="{A781D5B2-DC83-4A16-9373-DF00A16C1D6C}">
      <formula1>0</formula1>
      <formula2>10</formula2>
    </dataValidation>
    <dataValidation type="decimal" allowBlank="1" showInputMessage="1" showErrorMessage="1" errorTitle="Thông báo" error="Giá trị con điểm phải là số &gt;=0 và &lt;=10 " sqref="H26" xr:uid="{0147BDE7-2C9D-4207-9EA3-9BF4E788A986}">
      <formula1>0</formula1>
      <formula2>10</formula2>
    </dataValidation>
    <dataValidation type="decimal" allowBlank="1" showInputMessage="1" showErrorMessage="1" errorTitle="Thông báo" error="Giá trị con điểm phải là số &gt;=0 và &lt;=10 " sqref="I26" xr:uid="{10A31288-D908-4EC6-9ACD-2D9E85676E10}">
      <formula1>0</formula1>
      <formula2>10</formula2>
    </dataValidation>
    <dataValidation type="decimal" allowBlank="1" showInputMessage="1" showErrorMessage="1" errorTitle="Thông báo" error="Giá trị con điểm phải là số &gt;=0 và &lt;=10 " sqref="J26" xr:uid="{FC74DBB7-E8F8-41F2-9517-063606B1B90A}">
      <formula1>0</formula1>
      <formula2>10</formula2>
    </dataValidation>
    <dataValidation type="decimal" allowBlank="1" showInputMessage="1" showErrorMessage="1" errorTitle="Thông báo" error="Giá trị con điểm phải là số &gt;=0 và &lt;=10 " sqref="K26" xr:uid="{F18847DE-FB51-44F5-953A-362A5C3F4DB7}">
      <formula1>0</formula1>
      <formula2>10</formula2>
    </dataValidation>
    <dataValidation type="decimal" allowBlank="1" showInputMessage="1" showErrorMessage="1" errorTitle="Thông báo" error="Giá trị con điểm phải là số &gt;=0 và &lt;=10 " sqref="F27" xr:uid="{3496C383-B3A5-4324-8999-1C040FD94DE6}">
      <formula1>0</formula1>
      <formula2>10</formula2>
    </dataValidation>
    <dataValidation type="decimal" allowBlank="1" showInputMessage="1" showErrorMessage="1" errorTitle="Thông báo" error="Giá trị con điểm phải là số &gt;=0 và &lt;=10 " sqref="G27" xr:uid="{A9113DCE-46EC-473D-B2BB-7F246A6BAD4E}">
      <formula1>0</formula1>
      <formula2>10</formula2>
    </dataValidation>
    <dataValidation type="decimal" allowBlank="1" showInputMessage="1" showErrorMessage="1" errorTitle="Thông báo" error="Giá trị con điểm phải là số &gt;=0 và &lt;=10 " sqref="H27" xr:uid="{9FECA660-C6EB-4A99-B007-D67C7F32E72A}">
      <formula1>0</formula1>
      <formula2>10</formula2>
    </dataValidation>
    <dataValidation type="decimal" allowBlank="1" showInputMessage="1" showErrorMessage="1" errorTitle="Thông báo" error="Giá trị con điểm phải là số &gt;=0 và &lt;=10 " sqref="I27" xr:uid="{7CC4FC05-30B9-43E5-BF5C-9146FADE5B91}">
      <formula1>0</formula1>
      <formula2>10</formula2>
    </dataValidation>
    <dataValidation type="decimal" allowBlank="1" showInputMessage="1" showErrorMessage="1" errorTitle="Thông báo" error="Giá trị con điểm phải là số &gt;=0 và &lt;=10 " sqref="J27" xr:uid="{BD4A0777-8F73-4FA0-8DB1-07CCC57C7515}">
      <formula1>0</formula1>
      <formula2>10</formula2>
    </dataValidation>
    <dataValidation type="decimal" allowBlank="1" showInputMessage="1" showErrorMessage="1" errorTitle="Thông báo" error="Giá trị con điểm phải là số &gt;=0 và &lt;=10 " sqref="K27" xr:uid="{A04043D9-3DC9-4656-AF03-BC078F448625}">
      <formula1>0</formula1>
      <formula2>10</formula2>
    </dataValidation>
    <dataValidation type="decimal" allowBlank="1" showInputMessage="1" showErrorMessage="1" errorTitle="Thông báo" error="Giá trị con điểm phải là số &gt;=0 và &lt;=10 " sqref="F28" xr:uid="{59D01543-5966-4A00-B58B-327C2021EB8C}">
      <formula1>0</formula1>
      <formula2>10</formula2>
    </dataValidation>
    <dataValidation type="decimal" allowBlank="1" showInputMessage="1" showErrorMessage="1" errorTitle="Thông báo" error="Giá trị con điểm phải là số &gt;=0 và &lt;=10 " sqref="G28" xr:uid="{B6DF1D91-2CB6-475E-8520-9805F4308A30}">
      <formula1>0</formula1>
      <formula2>10</formula2>
    </dataValidation>
    <dataValidation type="decimal" allowBlank="1" showInputMessage="1" showErrorMessage="1" errorTitle="Thông báo" error="Giá trị con điểm phải là số &gt;=0 và &lt;=10 " sqref="H28" xr:uid="{96F18A18-A73E-4D03-ACE6-05A9136A8654}">
      <formula1>0</formula1>
      <formula2>10</formula2>
    </dataValidation>
    <dataValidation type="decimal" allowBlank="1" showInputMessage="1" showErrorMessage="1" errorTitle="Thông báo" error="Giá trị con điểm phải là số &gt;=0 và &lt;=10 " sqref="I28" xr:uid="{AFFCDEC3-0AF7-4E9B-BC86-CDCF4EED6EB0}">
      <formula1>0</formula1>
      <formula2>10</formula2>
    </dataValidation>
    <dataValidation type="decimal" allowBlank="1" showInputMessage="1" showErrorMessage="1" errorTitle="Thông báo" error="Giá trị con điểm phải là số &gt;=0 và &lt;=10 " sqref="J28" xr:uid="{126375C9-DC89-4642-A8A1-8E42FF0B8252}">
      <formula1>0</formula1>
      <formula2>10</formula2>
    </dataValidation>
    <dataValidation type="decimal" allowBlank="1" showInputMessage="1" showErrorMessage="1" errorTitle="Thông báo" error="Giá trị con điểm phải là số &gt;=0 và &lt;=10 " sqref="K28" xr:uid="{364F4564-3254-4602-A9AA-AFA8C438C255}">
      <formula1>0</formula1>
      <formula2>10</formula2>
    </dataValidation>
    <dataValidation type="decimal" allowBlank="1" showInputMessage="1" showErrorMessage="1" errorTitle="Thông báo" error="Giá trị con điểm phải là số &gt;=0 và &lt;=10 " sqref="F29" xr:uid="{2E224CF8-AF93-4D29-A38B-2593A51F039A}">
      <formula1>0</formula1>
      <formula2>10</formula2>
    </dataValidation>
    <dataValidation type="decimal" allowBlank="1" showInputMessage="1" showErrorMessage="1" errorTitle="Thông báo" error="Giá trị con điểm phải là số &gt;=0 và &lt;=10 " sqref="G29" xr:uid="{AFF36914-0B43-46F2-A103-3A7ADFA18F17}">
      <formula1>0</formula1>
      <formula2>10</formula2>
    </dataValidation>
    <dataValidation type="decimal" allowBlank="1" showInputMessage="1" showErrorMessage="1" errorTitle="Thông báo" error="Giá trị con điểm phải là số &gt;=0 và &lt;=10 " sqref="H29" xr:uid="{21834B62-D067-41FF-B0C3-C73B146029AD}">
      <formula1>0</formula1>
      <formula2>10</formula2>
    </dataValidation>
    <dataValidation type="decimal" allowBlank="1" showInputMessage="1" showErrorMessage="1" errorTitle="Thông báo" error="Giá trị con điểm phải là số &gt;=0 và &lt;=10 " sqref="I29" xr:uid="{4FADBA55-5A92-459D-ADBD-73F2FA89BE6F}">
      <formula1>0</formula1>
      <formula2>10</formula2>
    </dataValidation>
    <dataValidation type="decimal" allowBlank="1" showInputMessage="1" showErrorMessage="1" errorTitle="Thông báo" error="Giá trị con điểm phải là số &gt;=0 và &lt;=10 " sqref="J29" xr:uid="{E17BDFFA-C4EE-4CFE-A9FA-9DCBC1AB1B01}">
      <formula1>0</formula1>
      <formula2>10</formula2>
    </dataValidation>
    <dataValidation type="decimal" allowBlank="1" showInputMessage="1" showErrorMessage="1" errorTitle="Thông báo" error="Giá trị con điểm phải là số &gt;=0 và &lt;=10 " sqref="K29" xr:uid="{6DC48BBD-C68E-4B7D-90A1-FCEA75ADF84A}">
      <formula1>0</formula1>
      <formula2>10</formula2>
    </dataValidation>
    <dataValidation type="decimal" allowBlank="1" showInputMessage="1" showErrorMessage="1" errorTitle="Thông báo" error="Giá trị con điểm phải là số &gt;=0 và &lt;=10 " sqref="F30" xr:uid="{D69D0394-D36F-4CE6-B901-009F47C5351B}">
      <formula1>0</formula1>
      <formula2>10</formula2>
    </dataValidation>
    <dataValidation type="decimal" allowBlank="1" showInputMessage="1" showErrorMessage="1" errorTitle="Thông báo" error="Giá trị con điểm phải là số &gt;=0 và &lt;=10 " sqref="G30" xr:uid="{1F431E23-2807-4C36-8D5F-B8803FD1DA23}">
      <formula1>0</formula1>
      <formula2>10</formula2>
    </dataValidation>
    <dataValidation type="decimal" allowBlank="1" showInputMessage="1" showErrorMessage="1" errorTitle="Thông báo" error="Giá trị con điểm phải là số &gt;=0 và &lt;=10 " sqref="H30" xr:uid="{3324444B-B9AA-4A47-BFBE-3C96F7237DD6}">
      <formula1>0</formula1>
      <formula2>10</formula2>
    </dataValidation>
    <dataValidation type="decimal" allowBlank="1" showInputMessage="1" showErrorMessage="1" errorTitle="Thông báo" error="Giá trị con điểm phải là số &gt;=0 và &lt;=10 " sqref="I30" xr:uid="{D1F0B9FD-126D-4EA4-A3CB-9EA9F1987FD6}">
      <formula1>0</formula1>
      <formula2>10</formula2>
    </dataValidation>
    <dataValidation type="decimal" allowBlank="1" showInputMessage="1" showErrorMessage="1" errorTitle="Thông báo" error="Giá trị con điểm phải là số &gt;=0 và &lt;=10 " sqref="J30" xr:uid="{BE897900-ABFD-4E69-8122-2156978333B6}">
      <formula1>0</formula1>
      <formula2>10</formula2>
    </dataValidation>
    <dataValidation type="decimal" allowBlank="1" showInputMessage="1" showErrorMessage="1" errorTitle="Thông báo" error="Giá trị con điểm phải là số &gt;=0 và &lt;=10 " sqref="K30" xr:uid="{5FF9CCEB-E531-49EE-A1A0-CEA6BE0AE92E}">
      <formula1>0</formula1>
      <formula2>10</formula2>
    </dataValidation>
    <dataValidation type="decimal" allowBlank="1" showInputMessage="1" showErrorMessage="1" errorTitle="Thông báo" error="Giá trị con điểm phải là số &gt;=0 và &lt;=10 " sqref="F31" xr:uid="{75465F94-1A4E-433D-A53B-B6FCC2FFE5CE}">
      <formula1>0</formula1>
      <formula2>10</formula2>
    </dataValidation>
    <dataValidation type="decimal" allowBlank="1" showInputMessage="1" showErrorMessage="1" errorTitle="Thông báo" error="Giá trị con điểm phải là số &gt;=0 và &lt;=10 " sqref="G31" xr:uid="{9CF4F2FA-7A68-42FA-AE7C-2C460EFBE932}">
      <formula1>0</formula1>
      <formula2>10</formula2>
    </dataValidation>
    <dataValidation type="decimal" allowBlank="1" showInputMessage="1" showErrorMessage="1" errorTitle="Thông báo" error="Giá trị con điểm phải là số &gt;=0 và &lt;=10 " sqref="H31" xr:uid="{C6CB4DCD-0DA5-4674-A54F-8E9ED4821CE7}">
      <formula1>0</formula1>
      <formula2>10</formula2>
    </dataValidation>
    <dataValidation type="decimal" allowBlank="1" showInputMessage="1" showErrorMessage="1" errorTitle="Thông báo" error="Giá trị con điểm phải là số &gt;=0 và &lt;=10 " sqref="I31" xr:uid="{49C6F898-FC03-4136-8B14-D5188B1663F0}">
      <formula1>0</formula1>
      <formula2>10</formula2>
    </dataValidation>
    <dataValidation type="decimal" allowBlank="1" showInputMessage="1" showErrorMessage="1" errorTitle="Thông báo" error="Giá trị con điểm phải là số &gt;=0 và &lt;=10 " sqref="J31" xr:uid="{45663B18-153D-4328-93BA-1F8158D96D22}">
      <formula1>0</formula1>
      <formula2>10</formula2>
    </dataValidation>
    <dataValidation type="decimal" allowBlank="1" showInputMessage="1" showErrorMessage="1" errorTitle="Thông báo" error="Giá trị con điểm phải là số &gt;=0 và &lt;=10 " sqref="K31" xr:uid="{DAA28D8A-8ED6-4BE5-A1C9-D2E111050D75}">
      <formula1>0</formula1>
      <formula2>10</formula2>
    </dataValidation>
    <dataValidation type="decimal" allowBlank="1" showInputMessage="1" showErrorMessage="1" errorTitle="Thông báo" error="Giá trị con điểm phải là số &gt;=0 và &lt;=10 " sqref="F32" xr:uid="{7DA32A4F-BAA3-4949-8376-49C786FB9E39}">
      <formula1>0</formula1>
      <formula2>10</formula2>
    </dataValidation>
    <dataValidation type="decimal" allowBlank="1" showInputMessage="1" showErrorMessage="1" errorTitle="Thông báo" error="Giá trị con điểm phải là số &gt;=0 và &lt;=10 " sqref="G32" xr:uid="{81F23525-3F56-416A-96E6-F8D60D0D08AF}">
      <formula1>0</formula1>
      <formula2>10</formula2>
    </dataValidation>
    <dataValidation type="decimal" allowBlank="1" showInputMessage="1" showErrorMessage="1" errorTitle="Thông báo" error="Giá trị con điểm phải là số &gt;=0 và &lt;=10 " sqref="H32" xr:uid="{921D2183-D5D4-4C55-BA93-8E9A424C3CEF}">
      <formula1>0</formula1>
      <formula2>10</formula2>
    </dataValidation>
    <dataValidation type="decimal" allowBlank="1" showInputMessage="1" showErrorMessage="1" errorTitle="Thông báo" error="Giá trị con điểm phải là số &gt;=0 và &lt;=10 " sqref="I32" xr:uid="{E5372860-B9A2-45C9-8D7A-8D7EA43E40D8}">
      <formula1>0</formula1>
      <formula2>10</formula2>
    </dataValidation>
    <dataValidation type="decimal" allowBlank="1" showInputMessage="1" showErrorMessage="1" errorTitle="Thông báo" error="Giá trị con điểm phải là số &gt;=0 và &lt;=10 " sqref="J32" xr:uid="{E685283F-75F8-45EE-A68F-C45F946FA447}">
      <formula1>0</formula1>
      <formula2>10</formula2>
    </dataValidation>
    <dataValidation type="decimal" allowBlank="1" showInputMessage="1" showErrorMessage="1" errorTitle="Thông báo" error="Giá trị con điểm phải là số &gt;=0 và &lt;=10 " sqref="K32" xr:uid="{044C34DF-6C20-44AD-B984-655AC5D57C0B}">
      <formula1>0</formula1>
      <formula2>10</formula2>
    </dataValidation>
    <dataValidation type="decimal" allowBlank="1" showInputMessage="1" showErrorMessage="1" errorTitle="Thông báo" error="Giá trị con điểm phải là số &gt;=0 và &lt;=10 " sqref="F33" xr:uid="{F0F04E0C-6561-4275-ADE9-FAB3F835920C}">
      <formula1>0</formula1>
      <formula2>10</formula2>
    </dataValidation>
    <dataValidation type="decimal" allowBlank="1" showInputMessage="1" showErrorMessage="1" errorTitle="Thông báo" error="Giá trị con điểm phải là số &gt;=0 và &lt;=10 " sqref="G33" xr:uid="{A1946CAB-FAAF-4F65-9FDB-DE203FE81B07}">
      <formula1>0</formula1>
      <formula2>10</formula2>
    </dataValidation>
    <dataValidation type="decimal" allowBlank="1" showInputMessage="1" showErrorMessage="1" errorTitle="Thông báo" error="Giá trị con điểm phải là số &gt;=0 và &lt;=10 " sqref="H33" xr:uid="{DCAAA66B-5B41-43C4-9D5D-009D469666A9}">
      <formula1>0</formula1>
      <formula2>10</formula2>
    </dataValidation>
    <dataValidation type="decimal" allowBlank="1" showInputMessage="1" showErrorMessage="1" errorTitle="Thông báo" error="Giá trị con điểm phải là số &gt;=0 và &lt;=10 " sqref="I33" xr:uid="{7B3833ED-87DE-443D-A13C-47E998C81DFE}">
      <formula1>0</formula1>
      <formula2>10</formula2>
    </dataValidation>
    <dataValidation type="decimal" allowBlank="1" showInputMessage="1" showErrorMessage="1" errorTitle="Thông báo" error="Giá trị con điểm phải là số &gt;=0 và &lt;=10 " sqref="J33" xr:uid="{88A53224-DEEE-47F9-820E-45F65D011FF0}">
      <formula1>0</formula1>
      <formula2>10</formula2>
    </dataValidation>
    <dataValidation type="decimal" allowBlank="1" showInputMessage="1" showErrorMessage="1" errorTitle="Thông báo" error="Giá trị con điểm phải là số &gt;=0 và &lt;=10 " sqref="K33" xr:uid="{B63C27A6-9AF3-45FD-B768-98D01BF1048B}">
      <formula1>0</formula1>
      <formula2>10</formula2>
    </dataValidation>
    <dataValidation type="decimal" allowBlank="1" showInputMessage="1" showErrorMessage="1" errorTitle="Thông báo" error="Giá trị con điểm phải là số &gt;=0 và &lt;=10 " sqref="F34" xr:uid="{42482DCE-836A-40EA-963A-1E9BCFA3CEC6}">
      <formula1>0</formula1>
      <formula2>10</formula2>
    </dataValidation>
    <dataValidation type="decimal" allowBlank="1" showInputMessage="1" showErrorMessage="1" errorTitle="Thông báo" error="Giá trị con điểm phải là số &gt;=0 và &lt;=10 " sqref="G34" xr:uid="{4C832F61-BAB5-48AD-B6FD-31DE811BDADB}">
      <formula1>0</formula1>
      <formula2>10</formula2>
    </dataValidation>
    <dataValidation type="decimal" allowBlank="1" showInputMessage="1" showErrorMessage="1" errorTitle="Thông báo" error="Giá trị con điểm phải là số &gt;=0 và &lt;=10 " sqref="H34" xr:uid="{E4286AD5-F721-40F1-B306-624FEEB3ED92}">
      <formula1>0</formula1>
      <formula2>10</formula2>
    </dataValidation>
    <dataValidation type="decimal" allowBlank="1" showInputMessage="1" showErrorMessage="1" errorTitle="Thông báo" error="Giá trị con điểm phải là số &gt;=0 và &lt;=10 " sqref="I34" xr:uid="{CE6F2AB8-A018-465E-BB08-25A69DDED2AE}">
      <formula1>0</formula1>
      <formula2>10</formula2>
    </dataValidation>
    <dataValidation type="decimal" allowBlank="1" showInputMessage="1" showErrorMessage="1" errorTitle="Thông báo" error="Giá trị con điểm phải là số &gt;=0 và &lt;=10 " sqref="J34" xr:uid="{44F3FA52-863A-48B2-8183-FF6C5C3B4404}">
      <formula1>0</formula1>
      <formula2>10</formula2>
    </dataValidation>
    <dataValidation type="decimal" allowBlank="1" showInputMessage="1" showErrorMessage="1" errorTitle="Thông báo" error="Giá trị con điểm phải là số &gt;=0 và &lt;=10 " sqref="K34" xr:uid="{F3A7E812-E006-4B80-B4F3-059B1752D1F4}">
      <formula1>0</formula1>
      <formula2>10</formula2>
    </dataValidation>
    <dataValidation type="decimal" allowBlank="1" showInputMessage="1" showErrorMessage="1" errorTitle="Thông báo" error="Giá trị con điểm phải là số &gt;=0 và &lt;=10 " sqref="F35" xr:uid="{FCE85ED1-729E-4A8F-802A-D7FD13BFE315}">
      <formula1>0</formula1>
      <formula2>10</formula2>
    </dataValidation>
    <dataValidation type="decimal" allowBlank="1" showInputMessage="1" showErrorMessage="1" errorTitle="Thông báo" error="Giá trị con điểm phải là số &gt;=0 và &lt;=10 " sqref="G35" xr:uid="{5B1A8A1C-2B3C-4430-9329-8A30ADFD0149}">
      <formula1>0</formula1>
      <formula2>10</formula2>
    </dataValidation>
    <dataValidation type="decimal" allowBlank="1" showInputMessage="1" showErrorMessage="1" errorTitle="Thông báo" error="Giá trị con điểm phải là số &gt;=0 và &lt;=10 " sqref="H35" xr:uid="{370374CD-4524-4881-9E52-E0FA4B82629E}">
      <formula1>0</formula1>
      <formula2>10</formula2>
    </dataValidation>
    <dataValidation type="decimal" allowBlank="1" showInputMessage="1" showErrorMessage="1" errorTitle="Thông báo" error="Giá trị con điểm phải là số &gt;=0 và &lt;=10 " sqref="I35" xr:uid="{E4333F81-EAC4-4815-9062-F8313D2F6D0D}">
      <formula1>0</formula1>
      <formula2>10</formula2>
    </dataValidation>
    <dataValidation type="decimal" allowBlank="1" showInputMessage="1" showErrorMessage="1" errorTitle="Thông báo" error="Giá trị con điểm phải là số &gt;=0 và &lt;=10 " sqref="J35" xr:uid="{0041960E-D795-4865-A23B-2C1300FF8A5F}">
      <formula1>0</formula1>
      <formula2>10</formula2>
    </dataValidation>
    <dataValidation type="decimal" allowBlank="1" showInputMessage="1" showErrorMessage="1" errorTitle="Thông báo" error="Giá trị con điểm phải là số &gt;=0 và &lt;=10 " sqref="K35" xr:uid="{986BEEE6-E666-4CC3-A2A9-1DC0F747B5BE}">
      <formula1>0</formula1>
      <formula2>10</formula2>
    </dataValidation>
    <dataValidation type="decimal" allowBlank="1" showInputMessage="1" showErrorMessage="1" errorTitle="Thông báo" error="Giá trị con điểm phải là số &gt;=0 và &lt;=10 " sqref="F36" xr:uid="{B77B464B-C46A-4CFE-8D83-894FC4495D46}">
      <formula1>0</formula1>
      <formula2>10</formula2>
    </dataValidation>
    <dataValidation type="decimal" allowBlank="1" showInputMessage="1" showErrorMessage="1" errorTitle="Thông báo" error="Giá trị con điểm phải là số &gt;=0 và &lt;=10 " sqref="G36" xr:uid="{238EB041-4E16-4BC8-A8F9-73CA64886936}">
      <formula1>0</formula1>
      <formula2>10</formula2>
    </dataValidation>
    <dataValidation type="decimal" allowBlank="1" showInputMessage="1" showErrorMessage="1" errorTitle="Thông báo" error="Giá trị con điểm phải là số &gt;=0 và &lt;=10 " sqref="H36" xr:uid="{29D01E2D-D934-421E-AD19-9551EDE7B24A}">
      <formula1>0</formula1>
      <formula2>10</formula2>
    </dataValidation>
    <dataValidation type="decimal" allowBlank="1" showInputMessage="1" showErrorMessage="1" errorTitle="Thông báo" error="Giá trị con điểm phải là số &gt;=0 và &lt;=10 " sqref="I36" xr:uid="{0085F82E-2DE1-4F60-B128-776357BAA021}">
      <formula1>0</formula1>
      <formula2>10</formula2>
    </dataValidation>
    <dataValidation type="decimal" allowBlank="1" showInputMessage="1" showErrorMessage="1" errorTitle="Thông báo" error="Giá trị con điểm phải là số &gt;=0 và &lt;=10 " sqref="J36" xr:uid="{EA689B11-8909-4AE8-8B57-C79676F7A998}">
      <formula1>0</formula1>
      <formula2>10</formula2>
    </dataValidation>
    <dataValidation type="decimal" allowBlank="1" showInputMessage="1" showErrorMessage="1" errorTitle="Thông báo" error="Giá trị con điểm phải là số &gt;=0 và &lt;=10 " sqref="K36" xr:uid="{5525C54F-D36D-436A-8483-5C82597AA013}">
      <formula1>0</formula1>
      <formula2>10</formula2>
    </dataValidation>
    <dataValidation type="decimal" allowBlank="1" showInputMessage="1" showErrorMessage="1" errorTitle="Thông báo" error="Giá trị con điểm phải là số &gt;=0 và &lt;=10 " sqref="F37" xr:uid="{34E09220-41D5-4DF1-BE6D-A2E449C51C05}">
      <formula1>0</formula1>
      <formula2>10</formula2>
    </dataValidation>
    <dataValidation type="decimal" allowBlank="1" showInputMessage="1" showErrorMessage="1" errorTitle="Thông báo" error="Giá trị con điểm phải là số &gt;=0 và &lt;=10 " sqref="G37" xr:uid="{986A1CB5-4CFD-48DD-B0EB-33A9528D73A9}">
      <formula1>0</formula1>
      <formula2>10</formula2>
    </dataValidation>
    <dataValidation type="decimal" allowBlank="1" showInputMessage="1" showErrorMessage="1" errorTitle="Thông báo" error="Giá trị con điểm phải là số &gt;=0 và &lt;=10 " sqref="H37" xr:uid="{3944DBF2-8E01-41AE-A6CD-22BD7AE9F69B}">
      <formula1>0</formula1>
      <formula2>10</formula2>
    </dataValidation>
    <dataValidation type="decimal" allowBlank="1" showInputMessage="1" showErrorMessage="1" errorTitle="Thông báo" error="Giá trị con điểm phải là số &gt;=0 và &lt;=10 " sqref="I37" xr:uid="{D2F49068-26BA-4207-B472-2F4F52A4831E}">
      <formula1>0</formula1>
      <formula2>10</formula2>
    </dataValidation>
    <dataValidation type="decimal" allowBlank="1" showInputMessage="1" showErrorMessage="1" errorTitle="Thông báo" error="Giá trị con điểm phải là số &gt;=0 và &lt;=10 " sqref="J37" xr:uid="{E9751003-C4BD-495F-8AD2-5F3E1EDCA4CC}">
      <formula1>0</formula1>
      <formula2>10</formula2>
    </dataValidation>
    <dataValidation type="decimal" allowBlank="1" showInputMessage="1" showErrorMessage="1" errorTitle="Thông báo" error="Giá trị con điểm phải là số &gt;=0 và &lt;=10 " sqref="K37" xr:uid="{F060D574-11B1-4132-B08B-7A6C6F101452}">
      <formula1>0</formula1>
      <formula2>10</formula2>
    </dataValidation>
    <dataValidation type="decimal" allowBlank="1" showInputMessage="1" showErrorMessage="1" errorTitle="Thông báo" error="Giá trị con điểm phải là số &gt;=0 và &lt;=10 " sqref="F38" xr:uid="{D6D43496-5694-4C31-B2FD-7F9A5D3787E8}">
      <formula1>0</formula1>
      <formula2>10</formula2>
    </dataValidation>
    <dataValidation type="decimal" allowBlank="1" showInputMessage="1" showErrorMessage="1" errorTitle="Thông báo" error="Giá trị con điểm phải là số &gt;=0 và &lt;=10 " sqref="G38" xr:uid="{4001EBE2-A852-4BC4-BE8D-470FE5C896A1}">
      <formula1>0</formula1>
      <formula2>10</formula2>
    </dataValidation>
    <dataValidation type="decimal" allowBlank="1" showInputMessage="1" showErrorMessage="1" errorTitle="Thông báo" error="Giá trị con điểm phải là số &gt;=0 và &lt;=10 " sqref="H38" xr:uid="{D88E829E-21CE-4D21-B474-DD7107C004AA}">
      <formula1>0</formula1>
      <formula2>10</formula2>
    </dataValidation>
    <dataValidation type="decimal" allowBlank="1" showInputMessage="1" showErrorMessage="1" errorTitle="Thông báo" error="Giá trị con điểm phải là số &gt;=0 và &lt;=10 " sqref="I38" xr:uid="{F62317A3-AC13-444E-9114-A778A357830E}">
      <formula1>0</formula1>
      <formula2>10</formula2>
    </dataValidation>
    <dataValidation type="decimal" allowBlank="1" showInputMessage="1" showErrorMessage="1" errorTitle="Thông báo" error="Giá trị con điểm phải là số &gt;=0 và &lt;=10 " sqref="J38" xr:uid="{D253479D-1F0B-427A-8270-E24158135136}">
      <formula1>0</formula1>
      <formula2>10</formula2>
    </dataValidation>
    <dataValidation type="decimal" allowBlank="1" showInputMessage="1" showErrorMessage="1" errorTitle="Thông báo" error="Giá trị con điểm phải là số &gt;=0 và &lt;=10 " sqref="K38" xr:uid="{7D166C02-4254-46E9-BC5C-71EBF1DBF25A}">
      <formula1>0</formula1>
      <formula2>10</formula2>
    </dataValidation>
    <dataValidation type="decimal" allowBlank="1" showInputMessage="1" showErrorMessage="1" errorTitle="Thông báo" error="Giá trị con điểm phải là số &gt;=0 và &lt;=10 " sqref="F39" xr:uid="{14806AE9-869C-4C7D-9CBB-C30BA562CAA7}">
      <formula1>0</formula1>
      <formula2>10</formula2>
    </dataValidation>
    <dataValidation type="decimal" allowBlank="1" showInputMessage="1" showErrorMessage="1" errorTitle="Thông báo" error="Giá trị con điểm phải là số &gt;=0 và &lt;=10 " sqref="G39" xr:uid="{BF1C070D-0165-45B1-8799-97F79D41127D}">
      <formula1>0</formula1>
      <formula2>10</formula2>
    </dataValidation>
    <dataValidation type="decimal" allowBlank="1" showInputMessage="1" showErrorMessage="1" errorTitle="Thông báo" error="Giá trị con điểm phải là số &gt;=0 và &lt;=10 " sqref="H39" xr:uid="{2BCA545E-4456-4EAF-97FB-A2660AAC1000}">
      <formula1>0</formula1>
      <formula2>10</formula2>
    </dataValidation>
    <dataValidation type="decimal" allowBlank="1" showInputMessage="1" showErrorMessage="1" errorTitle="Thông báo" error="Giá trị con điểm phải là số &gt;=0 và &lt;=10 " sqref="I39" xr:uid="{7A9F1F56-02B9-4065-AF2C-B61E71A3BC92}">
      <formula1>0</formula1>
      <formula2>10</formula2>
    </dataValidation>
    <dataValidation type="decimal" allowBlank="1" showInputMessage="1" showErrorMessage="1" errorTitle="Thông báo" error="Giá trị con điểm phải là số &gt;=0 và &lt;=10 " sqref="J39" xr:uid="{9BABD1B9-05F7-4A00-9CF3-F8AFD75FB8DB}">
      <formula1>0</formula1>
      <formula2>10</formula2>
    </dataValidation>
    <dataValidation type="decimal" allowBlank="1" showInputMessage="1" showErrorMessage="1" errorTitle="Thông báo" error="Giá trị con điểm phải là số &gt;=0 và &lt;=10 " sqref="K39" xr:uid="{19A12319-A2B5-44CF-97CD-354EAF53070A}">
      <formula1>0</formula1>
      <formula2>10</formula2>
    </dataValidation>
    <dataValidation type="decimal" allowBlank="1" showInputMessage="1" showErrorMessage="1" errorTitle="Thông báo" error="Giá trị con điểm phải là số &gt;=0 và &lt;=10 " sqref="F40" xr:uid="{D71EB1B5-9946-41B1-87A2-10A03BD03287}">
      <formula1>0</formula1>
      <formula2>10</formula2>
    </dataValidation>
    <dataValidation type="decimal" allowBlank="1" showInputMessage="1" showErrorMessage="1" errorTitle="Thông báo" error="Giá trị con điểm phải là số &gt;=0 và &lt;=10 " sqref="G40" xr:uid="{5333EB76-548E-4659-8553-D27A7863F659}">
      <formula1>0</formula1>
      <formula2>10</formula2>
    </dataValidation>
    <dataValidation type="decimal" allowBlank="1" showInputMessage="1" showErrorMessage="1" errorTitle="Thông báo" error="Giá trị con điểm phải là số &gt;=0 và &lt;=10 " sqref="H40" xr:uid="{DA5DC267-C324-417B-BF48-923138BFC829}">
      <formula1>0</formula1>
      <formula2>10</formula2>
    </dataValidation>
    <dataValidation type="decimal" allowBlank="1" showInputMessage="1" showErrorMessage="1" errorTitle="Thông báo" error="Giá trị con điểm phải là số &gt;=0 và &lt;=10 " sqref="I40" xr:uid="{E29870BF-F66E-462C-AF39-4AD36B1C6341}">
      <formula1>0</formula1>
      <formula2>10</formula2>
    </dataValidation>
    <dataValidation type="decimal" allowBlank="1" showInputMessage="1" showErrorMessage="1" errorTitle="Thông báo" error="Giá trị con điểm phải là số &gt;=0 và &lt;=10 " sqref="J40" xr:uid="{ED1F93EF-6BAB-4DD1-BD4F-22CB13B6297B}">
      <formula1>0</formula1>
      <formula2>10</formula2>
    </dataValidation>
    <dataValidation type="decimal" allowBlank="1" showInputMessage="1" showErrorMessage="1" errorTitle="Thông báo" error="Giá trị con điểm phải là số &gt;=0 và &lt;=10 " sqref="K40" xr:uid="{F962863E-CE37-4FA4-98E3-74710064F460}">
      <formula1>0</formula1>
      <formula2>10</formula2>
    </dataValidation>
    <dataValidation type="decimal" allowBlank="1" showInputMessage="1" showErrorMessage="1" errorTitle="Thông báo" error="Giá trị con điểm phải là số &gt;=0 và &lt;=10 " sqref="F41" xr:uid="{62D9C1C7-1D92-41EE-85CD-9D8974CAECB0}">
      <formula1>0</formula1>
      <formula2>10</formula2>
    </dataValidation>
    <dataValidation type="decimal" allowBlank="1" showInputMessage="1" showErrorMessage="1" errorTitle="Thông báo" error="Giá trị con điểm phải là số &gt;=0 và &lt;=10 " sqref="G41" xr:uid="{C650EAE8-B2BA-4CF0-9CB4-C0D168321E06}">
      <formula1>0</formula1>
      <formula2>10</formula2>
    </dataValidation>
    <dataValidation type="decimal" allowBlank="1" showInputMessage="1" showErrorMessage="1" errorTitle="Thông báo" error="Giá trị con điểm phải là số &gt;=0 và &lt;=10 " sqref="H41" xr:uid="{9A122139-DE04-44AC-9F58-F818E9EDA58F}">
      <formula1>0</formula1>
      <formula2>10</formula2>
    </dataValidation>
    <dataValidation type="decimal" allowBlank="1" showInputMessage="1" showErrorMessage="1" errorTitle="Thông báo" error="Giá trị con điểm phải là số &gt;=0 và &lt;=10 " sqref="I41" xr:uid="{2FB4E71F-81F5-4033-B9EE-A2CD1FDAE75F}">
      <formula1>0</formula1>
      <formula2>10</formula2>
    </dataValidation>
    <dataValidation type="decimal" allowBlank="1" showInputMessage="1" showErrorMessage="1" errorTitle="Thông báo" error="Giá trị con điểm phải là số &gt;=0 và &lt;=10 " sqref="J41" xr:uid="{82CD3026-D849-4C7B-B5C7-DA367B7AF902}">
      <formula1>0</formula1>
      <formula2>10</formula2>
    </dataValidation>
    <dataValidation type="decimal" allowBlank="1" showInputMessage="1" showErrorMessage="1" errorTitle="Thông báo" error="Giá trị con điểm phải là số &gt;=0 và &lt;=10 " sqref="K41" xr:uid="{476D087C-8A5C-4EB3-BAF0-FB0D9C8A6B43}">
      <formula1>0</formula1>
      <formula2>10</formula2>
    </dataValidation>
    <dataValidation type="decimal" allowBlank="1" showInputMessage="1" showErrorMessage="1" errorTitle="Thông báo" error="Giá trị con điểm phải là số &gt;=0 và &lt;=10 " sqref="F42" xr:uid="{B8684E09-FC19-4B33-BA64-511EDF3712FE}">
      <formula1>0</formula1>
      <formula2>10</formula2>
    </dataValidation>
    <dataValidation type="decimal" allowBlank="1" showInputMessage="1" showErrorMessage="1" errorTitle="Thông báo" error="Giá trị con điểm phải là số &gt;=0 và &lt;=10 " sqref="G42" xr:uid="{C421941C-E468-4144-80BA-30C3348143E9}">
      <formula1>0</formula1>
      <formula2>10</formula2>
    </dataValidation>
    <dataValidation type="decimal" allowBlank="1" showInputMessage="1" showErrorMessage="1" errorTitle="Thông báo" error="Giá trị con điểm phải là số &gt;=0 và &lt;=10 " sqref="H42" xr:uid="{C6609D72-D2BF-4546-AEE2-A20AF7A1017B}">
      <formula1>0</formula1>
      <formula2>10</formula2>
    </dataValidation>
    <dataValidation type="decimal" allowBlank="1" showInputMessage="1" showErrorMessage="1" errorTitle="Thông báo" error="Giá trị con điểm phải là số &gt;=0 và &lt;=10 " sqref="I42" xr:uid="{51FCD02D-229D-419B-BB58-65A0116124AC}">
      <formula1>0</formula1>
      <formula2>10</formula2>
    </dataValidation>
    <dataValidation type="decimal" allowBlank="1" showInputMessage="1" showErrorMessage="1" errorTitle="Thông báo" error="Giá trị con điểm phải là số &gt;=0 và &lt;=10 " sqref="J42" xr:uid="{EF2B1BA4-0C88-40FD-B17E-245190C269E9}">
      <formula1>0</formula1>
      <formula2>10</formula2>
    </dataValidation>
    <dataValidation type="decimal" allowBlank="1" showInputMessage="1" showErrorMessage="1" errorTitle="Thông báo" error="Giá trị con điểm phải là số &gt;=0 và &lt;=10 " sqref="K42" xr:uid="{B0FF9F93-8500-4689-BCF0-DBEF5E604CC9}">
      <formula1>0</formula1>
      <formula2>10</formula2>
    </dataValidation>
    <dataValidation type="decimal" allowBlank="1" showInputMessage="1" showErrorMessage="1" errorTitle="Thông báo" error="Giá trị con điểm phải là số &gt;=0 và &lt;=10 " sqref="F43" xr:uid="{57CD6432-77A6-46D1-A1DF-00CE9A0AC044}">
      <formula1>0</formula1>
      <formula2>10</formula2>
    </dataValidation>
    <dataValidation type="decimal" allowBlank="1" showInputMessage="1" showErrorMessage="1" errorTitle="Thông báo" error="Giá trị con điểm phải là số &gt;=0 và &lt;=10 " sqref="G43" xr:uid="{DB258AC5-C22B-4520-87F9-D61358CDB8CE}">
      <formula1>0</formula1>
      <formula2>10</formula2>
    </dataValidation>
    <dataValidation type="decimal" allowBlank="1" showInputMessage="1" showErrorMessage="1" errorTitle="Thông báo" error="Giá trị con điểm phải là số &gt;=0 và &lt;=10 " sqref="H43" xr:uid="{8D76729C-42B8-46F4-9DB6-1732B2A66C28}">
      <formula1>0</formula1>
      <formula2>10</formula2>
    </dataValidation>
    <dataValidation type="decimal" allowBlank="1" showInputMessage="1" showErrorMessage="1" errorTitle="Thông báo" error="Giá trị con điểm phải là số &gt;=0 và &lt;=10 " sqref="I43" xr:uid="{AD558F1F-A19A-425F-BC26-6820B20B9125}">
      <formula1>0</formula1>
      <formula2>10</formula2>
    </dataValidation>
    <dataValidation type="decimal" allowBlank="1" showInputMessage="1" showErrorMessage="1" errorTitle="Thông báo" error="Giá trị con điểm phải là số &gt;=0 và &lt;=10 " sqref="J43" xr:uid="{3DF52AA7-48AB-4B04-ABB5-BB12752F017D}">
      <formula1>0</formula1>
      <formula2>10</formula2>
    </dataValidation>
    <dataValidation type="decimal" allowBlank="1" showInputMessage="1" showErrorMessage="1" errorTitle="Thông báo" error="Giá trị con điểm phải là số &gt;=0 và &lt;=10 " sqref="K43" xr:uid="{19631360-BC59-49CD-8DF1-3D36CE74B0AB}">
      <formula1>0</formula1>
      <formula2>10</formula2>
    </dataValidation>
    <dataValidation type="decimal" allowBlank="1" showInputMessage="1" showErrorMessage="1" errorTitle="Thông báo" error="Giá trị con điểm phải là số &gt;=0 và &lt;=10 " sqref="F44" xr:uid="{C40D55C7-0F6B-490D-8EEB-2DA90792F5AB}">
      <formula1>0</formula1>
      <formula2>10</formula2>
    </dataValidation>
    <dataValidation type="decimal" allowBlank="1" showInputMessage="1" showErrorMessage="1" errorTitle="Thông báo" error="Giá trị con điểm phải là số &gt;=0 và &lt;=10 " sqref="G44" xr:uid="{C114CEF1-03E0-4CE0-8CDD-0CD5A5C14596}">
      <formula1>0</formula1>
      <formula2>10</formula2>
    </dataValidation>
    <dataValidation type="decimal" allowBlank="1" showInputMessage="1" showErrorMessage="1" errorTitle="Thông báo" error="Giá trị con điểm phải là số &gt;=0 và &lt;=10 " sqref="H44" xr:uid="{42B180B7-CD9C-4C4F-829B-EEC422B4AF96}">
      <formula1>0</formula1>
      <formula2>10</formula2>
    </dataValidation>
    <dataValidation type="decimal" allowBlank="1" showInputMessage="1" showErrorMessage="1" errorTitle="Thông báo" error="Giá trị con điểm phải là số &gt;=0 và &lt;=10 " sqref="I44" xr:uid="{CA778095-885F-4764-9ED4-EFF1EB27FE4A}">
      <formula1>0</formula1>
      <formula2>10</formula2>
    </dataValidation>
    <dataValidation type="decimal" allowBlank="1" showInputMessage="1" showErrorMessage="1" errorTitle="Thông báo" error="Giá trị con điểm phải là số &gt;=0 và &lt;=10 " sqref="J44" xr:uid="{76C912D5-86B5-4A91-AF66-DA46F6ED3F04}">
      <formula1>0</formula1>
      <formula2>10</formula2>
    </dataValidation>
    <dataValidation type="decimal" allowBlank="1" showInputMessage="1" showErrorMessage="1" errorTitle="Thông báo" error="Giá trị con điểm phải là số &gt;=0 và &lt;=10 " sqref="K44" xr:uid="{BD7E5025-FE72-4DA4-B0C5-953F9E6927D9}">
      <formula1>0</formula1>
      <formula2>10</formula2>
    </dataValidation>
    <dataValidation type="decimal" allowBlank="1" showInputMessage="1" showErrorMessage="1" errorTitle="Thông báo" error="Giá trị con điểm phải là số &gt;=0 và &lt;=10 " sqref="F45" xr:uid="{F53DB077-5BCD-4DB6-8812-8F328547090F}">
      <formula1>0</formula1>
      <formula2>10</formula2>
    </dataValidation>
    <dataValidation type="decimal" allowBlank="1" showInputMessage="1" showErrorMessage="1" errorTitle="Thông báo" error="Giá trị con điểm phải là số &gt;=0 và &lt;=10 " sqref="G45" xr:uid="{D64B1CBA-10FB-4B3F-A396-02E2AAC59C18}">
      <formula1>0</formula1>
      <formula2>10</formula2>
    </dataValidation>
    <dataValidation type="decimal" allowBlank="1" showInputMessage="1" showErrorMessage="1" errorTitle="Thông báo" error="Giá trị con điểm phải là số &gt;=0 và &lt;=10 " sqref="H45" xr:uid="{35C96984-82C2-441E-96C5-876D5D902347}">
      <formula1>0</formula1>
      <formula2>10</formula2>
    </dataValidation>
    <dataValidation type="decimal" allowBlank="1" showInputMessage="1" showErrorMessage="1" errorTitle="Thông báo" error="Giá trị con điểm phải là số &gt;=0 và &lt;=10 " sqref="I45" xr:uid="{95B45A0F-1AAC-4C87-B9DB-59A7035EF996}">
      <formula1>0</formula1>
      <formula2>10</formula2>
    </dataValidation>
    <dataValidation type="decimal" allowBlank="1" showInputMessage="1" showErrorMessage="1" errorTitle="Thông báo" error="Giá trị con điểm phải là số &gt;=0 và &lt;=10 " sqref="J45" xr:uid="{9F6BE91E-5526-4BCD-80A5-06AB97EE6DEA}">
      <formula1>0</formula1>
      <formula2>10</formula2>
    </dataValidation>
    <dataValidation type="decimal" allowBlank="1" showInputMessage="1" showErrorMessage="1" errorTitle="Thông báo" error="Giá trị con điểm phải là số &gt;=0 và &lt;=10 " sqref="K45" xr:uid="{4A6D70B9-42F0-4268-96D0-F1E6AC979751}">
      <formula1>0</formula1>
      <formula2>10</formula2>
    </dataValidation>
    <dataValidation type="decimal" allowBlank="1" showInputMessage="1" showErrorMessage="1" errorTitle="Thông báo" error="Giá trị con điểm phải là số &gt;=0 và &lt;=10 " sqref="F46" xr:uid="{30B3B6EF-4BA1-40C6-B256-BE24AF7A6D69}">
      <formula1>0</formula1>
      <formula2>10</formula2>
    </dataValidation>
    <dataValidation type="decimal" allowBlank="1" showInputMessage="1" showErrorMessage="1" errorTitle="Thông báo" error="Giá trị con điểm phải là số &gt;=0 và &lt;=10 " sqref="G46" xr:uid="{10069A72-917D-4D5A-84DA-BD152027589F}">
      <formula1>0</formula1>
      <formula2>10</formula2>
    </dataValidation>
    <dataValidation type="decimal" allowBlank="1" showInputMessage="1" showErrorMessage="1" errorTitle="Thông báo" error="Giá trị con điểm phải là số &gt;=0 và &lt;=10 " sqref="H46" xr:uid="{C25E8DAC-2A9F-4523-84E2-32C82D9B8DD8}">
      <formula1>0</formula1>
      <formula2>10</formula2>
    </dataValidation>
    <dataValidation type="decimal" allowBlank="1" showInputMessage="1" showErrorMessage="1" errorTitle="Thông báo" error="Giá trị con điểm phải là số &gt;=0 và &lt;=10 " sqref="I46" xr:uid="{DA3AC5AF-D7DC-467D-B8F0-A50B47636C33}">
      <formula1>0</formula1>
      <formula2>10</formula2>
    </dataValidation>
    <dataValidation type="decimal" allowBlank="1" showInputMessage="1" showErrorMessage="1" errorTitle="Thông báo" error="Giá trị con điểm phải là số &gt;=0 và &lt;=10 " sqref="J46" xr:uid="{CBCB39E5-B0A7-4FA4-9B5A-A7E6522D89BF}">
      <formula1>0</formula1>
      <formula2>10</formula2>
    </dataValidation>
    <dataValidation type="decimal" allowBlank="1" showInputMessage="1" showErrorMessage="1" errorTitle="Thông báo" error="Giá trị con điểm phải là số &gt;=0 và &lt;=10 " sqref="K46" xr:uid="{F2194708-3384-44BE-9658-61D1B9102008}">
      <formula1>0</formula1>
      <formula2>10</formula2>
    </dataValidation>
    <dataValidation type="decimal" allowBlank="1" showInputMessage="1" showErrorMessage="1" errorTitle="Thông báo" error="Giá trị con điểm phải là số &gt;=0 và &lt;=10 " sqref="F47" xr:uid="{4C39C432-B9B8-409D-9519-5BD13BEF9F82}">
      <formula1>0</formula1>
      <formula2>10</formula2>
    </dataValidation>
    <dataValidation type="decimal" allowBlank="1" showInputMessage="1" showErrorMessage="1" errorTitle="Thông báo" error="Giá trị con điểm phải là số &gt;=0 và &lt;=10 " sqref="G47" xr:uid="{D4C0EEDA-327F-40DF-BF3A-CE0E1995AA65}">
      <formula1>0</formula1>
      <formula2>10</formula2>
    </dataValidation>
    <dataValidation type="decimal" allowBlank="1" showInputMessage="1" showErrorMessage="1" errorTitle="Thông báo" error="Giá trị con điểm phải là số &gt;=0 và &lt;=10 " sqref="H47" xr:uid="{D2F13431-9552-42CE-BBD5-AF89F63AA8D8}">
      <formula1>0</formula1>
      <formula2>10</formula2>
    </dataValidation>
    <dataValidation type="decimal" allowBlank="1" showInputMessage="1" showErrorMessage="1" errorTitle="Thông báo" error="Giá trị con điểm phải là số &gt;=0 và &lt;=10 " sqref="I47" xr:uid="{9FBF04EB-0314-4289-B32E-A971A7CBF953}">
      <formula1>0</formula1>
      <formula2>10</formula2>
    </dataValidation>
    <dataValidation type="decimal" allowBlank="1" showInputMessage="1" showErrorMessage="1" errorTitle="Thông báo" error="Giá trị con điểm phải là số &gt;=0 và &lt;=10 " sqref="J47" xr:uid="{B3AB1E1D-C9CA-46E8-A606-FA38211C7F0B}">
      <formula1>0</formula1>
      <formula2>10</formula2>
    </dataValidation>
    <dataValidation type="decimal" allowBlank="1" showInputMessage="1" showErrorMessage="1" errorTitle="Thông báo" error="Giá trị con điểm phải là số &gt;=0 và &lt;=10 " sqref="K47" xr:uid="{E2516AD4-75A2-4491-9504-FEDB289ED2EE}">
      <formula1>0</formula1>
      <formula2>10</formula2>
    </dataValidation>
    <dataValidation type="decimal" allowBlank="1" showInputMessage="1" showErrorMessage="1" errorTitle="Thông báo" error="Giá trị con điểm phải là số &gt;=0 và &lt;=10 " sqref="F48" xr:uid="{C0F56BCB-39A5-4687-9E1D-96675A6B49A6}">
      <formula1>0</formula1>
      <formula2>10</formula2>
    </dataValidation>
    <dataValidation type="decimal" allowBlank="1" showInputMessage="1" showErrorMessage="1" errorTitle="Thông báo" error="Giá trị con điểm phải là số &gt;=0 và &lt;=10 " sqref="G48" xr:uid="{A7C93BD3-55DD-4612-8E26-CC7FE0E2AB62}">
      <formula1>0</formula1>
      <formula2>10</formula2>
    </dataValidation>
    <dataValidation type="decimal" allowBlank="1" showInputMessage="1" showErrorMessage="1" errorTitle="Thông báo" error="Giá trị con điểm phải là số &gt;=0 và &lt;=10 " sqref="H48" xr:uid="{D0B68680-6604-44E0-BDA4-71222F6019B0}">
      <formula1>0</formula1>
      <formula2>10</formula2>
    </dataValidation>
    <dataValidation type="decimal" allowBlank="1" showInputMessage="1" showErrorMessage="1" errorTitle="Thông báo" error="Giá trị con điểm phải là số &gt;=0 và &lt;=10 " sqref="I48" xr:uid="{0BA3729E-9B44-4B1D-B8CC-17AD29C0DFDC}">
      <formula1>0</formula1>
      <formula2>10</formula2>
    </dataValidation>
    <dataValidation type="decimal" allowBlank="1" showInputMessage="1" showErrorMessage="1" errorTitle="Thông báo" error="Giá trị con điểm phải là số &gt;=0 và &lt;=10 " sqref="J48" xr:uid="{F4E309AA-2D2B-41A9-B08B-42FEBA4EC15D}">
      <formula1>0</formula1>
      <formula2>10</formula2>
    </dataValidation>
    <dataValidation type="decimal" allowBlank="1" showInputMessage="1" showErrorMessage="1" errorTitle="Thông báo" error="Giá trị con điểm phải là số &gt;=0 và &lt;=10 " sqref="K48" xr:uid="{CE3C0FC1-8631-495F-A397-E669DD049524}">
      <formula1>0</formula1>
      <formula2>10</formula2>
    </dataValidation>
    <dataValidation type="decimal" allowBlank="1" showInputMessage="1" showErrorMessage="1" errorTitle="Thông báo" error="Giá trị con điểm phải là số &gt;=0 và &lt;=10 " sqref="F49" xr:uid="{D8B0EFC1-9A18-4EBB-8F71-9E3D134EDE9F}">
      <formula1>0</formula1>
      <formula2>10</formula2>
    </dataValidation>
    <dataValidation type="decimal" allowBlank="1" showInputMessage="1" showErrorMessage="1" errorTitle="Thông báo" error="Giá trị con điểm phải là số &gt;=0 và &lt;=10 " sqref="G49" xr:uid="{4A4CCF93-2948-4197-9399-D439BFF376B5}">
      <formula1>0</formula1>
      <formula2>10</formula2>
    </dataValidation>
    <dataValidation type="decimal" allowBlank="1" showInputMessage="1" showErrorMessage="1" errorTitle="Thông báo" error="Giá trị con điểm phải là số &gt;=0 và &lt;=10 " sqref="H49" xr:uid="{9160E1B4-89FB-4177-A4C6-DA05A91E5B3A}">
      <formula1>0</formula1>
      <formula2>10</formula2>
    </dataValidation>
    <dataValidation type="decimal" allowBlank="1" showInputMessage="1" showErrorMessage="1" errorTitle="Thông báo" error="Giá trị con điểm phải là số &gt;=0 và &lt;=10 " sqref="I49" xr:uid="{35C3D461-67A8-4B46-AECD-7A62F0818F1D}">
      <formula1>0</formula1>
      <formula2>10</formula2>
    </dataValidation>
    <dataValidation type="decimal" allowBlank="1" showInputMessage="1" showErrorMessage="1" errorTitle="Thông báo" error="Giá trị con điểm phải là số &gt;=0 và &lt;=10 " sqref="J49" xr:uid="{4F63FC2F-B3B3-4BE6-BC1E-DDB6B1CCA263}">
      <formula1>0</formula1>
      <formula2>10</formula2>
    </dataValidation>
    <dataValidation type="decimal" allowBlank="1" showInputMessage="1" showErrorMessage="1" errorTitle="Thông báo" error="Giá trị con điểm phải là số &gt;=0 và &lt;=10 " sqref="K49" xr:uid="{081A1AB6-7F76-4949-9955-537E5CFC650C}">
      <formula1>0</formula1>
      <formula2>10</formula2>
    </dataValidation>
  </dataValidations>
  <pageMargins left="0.5" right="0" top="0.25" bottom="0.2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tin_hoc_7a1</vt:lpstr>
      <vt:lpstr>tin_hoc_7a2</vt:lpstr>
      <vt:lpstr>tin_hoc_7a3</vt:lpstr>
      <vt:lpstr>tin_hoc_7a4</vt:lpstr>
      <vt:lpstr>tin_hoc_7a5</vt:lpstr>
      <vt:lpstr>tin_hoc_7a6</vt:lpstr>
      <vt:lpstr>tin_hoc_7a7</vt:lpstr>
      <vt:lpstr>tin_hoc_7a8</vt:lpstr>
      <vt:lpstr>tin_hoc_8a1</vt:lpstr>
      <vt:lpstr>tin_hoc_8a2</vt:lpstr>
      <vt:lpstr>tin_hoc_8a3</vt:lpstr>
      <vt:lpstr>tin_hoc_8a4</vt:lpstr>
      <vt:lpstr>tin_hoc_8a5</vt:lpstr>
      <vt:lpstr>tin_hoc_8a6</vt:lpstr>
      <vt:lpstr>tin_hoc_8a7</vt:lpstr>
      <vt:lpstr>tin_hoc_8a8</vt:lpstr>
      <vt:lpstr>tin_hoc_8a9</vt:lpstr>
      <vt:lpstr>tin_hoc_9a1</vt:lpstr>
      <vt:lpstr>tin_hoc_9a3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tienvnpt</dc:creator>
  <cp:lastModifiedBy>Lâm Visal</cp:lastModifiedBy>
  <dcterms:created xsi:type="dcterms:W3CDTF">2014-10-22T08:49:45Z</dcterms:created>
  <dcterms:modified xsi:type="dcterms:W3CDTF">2026-01-11T03:26:08Z</dcterms:modified>
</cp:coreProperties>
</file>